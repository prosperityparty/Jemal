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activeTab="1"/>
  </bookViews>
  <sheets>
    <sheet name="DASHBOARD" sheetId="1" r:id="rId1"/>
    <sheet name="DASHBOARD (2)" sheetId="11" r:id="rId2"/>
    <sheet name="XUBNAHA GUUD " sheetId="2" r:id="rId3"/>
    <sheet name="17 QABALE" sheetId="3" r:id="rId4"/>
    <sheet name="ACTIVITIES " sheetId="4" r:id="rId5"/>
    <sheet name="HOGGAAMINTA " sheetId="5" r:id="rId6"/>
    <sheet name="DHAQAALAHA XISBIGA " sheetId="6" r:id="rId7"/>
    <sheet name="DADWEYNE" sheetId="7" r:id="rId8"/>
    <sheet name="CABASHOOYIN" sheetId="8" r:id="rId9"/>
    <sheet name="INITIATIVES " sheetId="9" r:id="rId10"/>
    <sheet name="HAGAHA" sheetId="10" r:id="rId11"/>
  </sheets>
  <definedNames/>
  <calcPr iterateDelta="1.0E-4"/>
</workbook>
</file>

<file path=xl/sharedStrings.xml><?xml version="1.0" encoding="utf-8"?>
<sst xmlns="http://schemas.openxmlformats.org/spreadsheetml/2006/main" uniqueCount="299" count="299">
  <si>
    <t>DASHBOARD-KA RASMIGA AH
XAFIISKA XISBIGA BARWAAQO – QARSA DUULA</t>
  </si>
  <si>
    <t>WADARTA XUBNAHA</t>
  </si>
  <si>
    <t>LAB</t>
  </si>
  <si>
    <t>DHADIG</t>
  </si>
  <si>
    <t>XUBIN-SUGAYAAL</t>
  </si>
  <si>
    <t>HEERKA GUUD EE WAXQABADKA</t>
  </si>
  <si>
    <t>KOOBIDDA WAXQABADKA</t>
  </si>
  <si>
    <t>QAYBTA</t>
  </si>
  <si>
    <t>HEERKA</t>
  </si>
  <si>
    <t>XOGTA</t>
  </si>
  <si>
    <t>XUBNAHA</t>
  </si>
  <si>
    <t>DHAQAALAHA</t>
  </si>
  <si>
    <t>Qorshe &amp; Waxqabad</t>
  </si>
  <si>
    <t>Celcelis fulin</t>
  </si>
  <si>
    <t>Soo jireen</t>
  </si>
  <si>
    <t>Target</t>
  </si>
  <si>
    <t>Dhaqaale Xisbiga</t>
  </si>
  <si>
    <t>Cusub</t>
  </si>
  <si>
    <t>Fulay</t>
  </si>
  <si>
    <t>Initiatives</t>
  </si>
  <si>
    <t>Xubin-sugayaal</t>
  </si>
  <si>
    <t>Heer</t>
  </si>
  <si>
    <t>Abaabul Dadweyne</t>
  </si>
  <si>
    <t>N/A</t>
  </si>
  <si>
    <t>Target lama gelin</t>
  </si>
  <si>
    <t>17 Qabale</t>
  </si>
  <si>
    <t>Hoggaan</t>
  </si>
  <si>
    <t>Lama darin ilaa score la geliyo</t>
  </si>
  <si>
    <t>17-KA QABALE – XOGTA XUBNAHA</t>
  </si>
  <si>
    <t>ABAABULKA DADWEYNAHA</t>
  </si>
  <si>
    <t>CABASHOOYIN</t>
  </si>
  <si>
    <t>Xubnihi hore</t>
  </si>
  <si>
    <t>Ka qaybgal lab</t>
  </si>
  <si>
    <t>La helay</t>
  </si>
  <si>
    <t>Xubnaha cusub</t>
  </si>
  <si>
    <t>Ka qaybgal dhadig</t>
  </si>
  <si>
    <t>La xalliyay</t>
  </si>
  <si>
    <t>Wadarta</t>
  </si>
  <si>
    <t>Taagan</t>
  </si>
  <si>
    <t>Lab (65%)</t>
  </si>
  <si>
    <t>Miisaaniyad</t>
  </si>
  <si>
    <t>Dhadig (35%)</t>
  </si>
  <si>
    <t>FIIRO: Dashboard-ku wuxuu si toos ah uga akhriyaa sheets-ka. Qiimeynta hoggaanka lama qiyaasin; geli score 0–100% tiirka QIIMEYN (%). Heerarka: SARE ≥80%, DHEXDHEXAAD 60–79%, HOOSE &lt;60%.</t>
  </si>
  <si>
    <t>XOGTA XUBNAHA XISBIGA – QARSA DUULA</t>
  </si>
  <si>
    <t>WADARTA</t>
  </si>
  <si>
    <t>Xubnaha soo jireenka ah</t>
  </si>
  <si>
    <t>Xubin-sugayaasha</t>
  </si>
  <si>
    <t>WADARTA GUUD</t>
  </si>
  <si>
    <t>17-KA QABALE – XOGTA XUBNAHA XISBIGA SM 2019</t>
  </si>
  <si>
    <t>QABALAHA</t>
  </si>
  <si>
    <t>XUBNIHI HORE</t>
  </si>
  <si>
    <t>XUBNAHA CUSUB</t>
  </si>
  <si>
    <t xml:space="preserve">LAB </t>
  </si>
  <si>
    <t xml:space="preserve">DHADIG </t>
  </si>
  <si>
    <t xml:space="preserve">Faalo </t>
  </si>
  <si>
    <t>Toowfiq</t>
  </si>
  <si>
    <t>Xoriyo</t>
  </si>
  <si>
    <t>Bali cad</t>
  </si>
  <si>
    <t>Hara nuur</t>
  </si>
  <si>
    <t>Sara</t>
  </si>
  <si>
    <t>Booley</t>
  </si>
  <si>
    <t>Galol cali</t>
  </si>
  <si>
    <t>Hargeisa</t>
  </si>
  <si>
    <t>Samaale</t>
  </si>
  <si>
    <t>Babul</t>
  </si>
  <si>
    <t>Qurac buul</t>
  </si>
  <si>
    <t>Yaroote</t>
  </si>
  <si>
    <t>Madaale</t>
  </si>
  <si>
    <t>Jimbac</t>
  </si>
  <si>
    <t>Daru salam</t>
  </si>
  <si>
    <t>Hara batuun</t>
  </si>
  <si>
    <t>Sora</t>
  </si>
  <si>
    <t>QORSHAHA IYO WAXQABADKA XAFIISKA</t>
  </si>
  <si>
    <t>HAWLAHA/QORSHAHA</t>
  </si>
  <si>
    <t>TARGET</t>
  </si>
  <si>
    <t>FULAY</t>
  </si>
  <si>
    <t>% FULIN</t>
  </si>
  <si>
    <t>HEER</t>
  </si>
  <si>
    <t>Wacyigelinta Bulshada</t>
  </si>
  <si>
    <t xml:space="preserve">Tiro </t>
  </si>
  <si>
    <t>48,054</t>
  </si>
  <si>
    <t>45,750</t>
  </si>
  <si>
    <t>Dhaadhicinta Tababarada xisbiga</t>
  </si>
  <si>
    <t>4 jeer</t>
  </si>
  <si>
    <t>Ka qaygalka Barnaamijka dhaxal reebka cagaaran</t>
  </si>
  <si>
    <t>68,700</t>
  </si>
  <si>
    <t>61,200</t>
  </si>
  <si>
    <t>Taakuleenta iyo dabagalka Adeegbixinta</t>
  </si>
  <si>
    <t>joogto</t>
  </si>
  <si>
    <t>Qabashada shirarka kaladuwan ee hogaaminta</t>
  </si>
  <si>
    <t xml:space="preserve">Shubida lacagaha jaraa idka </t>
  </si>
  <si>
    <t>2 jeer</t>
  </si>
  <si>
    <t>2jeer</t>
  </si>
  <si>
    <t>Shubida Lacagta Buuga madhamer</t>
  </si>
  <si>
    <t>1 jeer</t>
  </si>
  <si>
    <t>1jeer</t>
  </si>
  <si>
    <t xml:space="preserve">Kulamada gudiga fulinta </t>
  </si>
  <si>
    <t>96%</t>
  </si>
  <si>
    <t xml:space="preserve">Kulamada golaha kabineega </t>
  </si>
  <si>
    <t>100%</t>
  </si>
  <si>
    <t xml:space="preserve">Kulamada gudiga nabad galyada </t>
  </si>
  <si>
    <t>Kulamada iskaashiga</t>
  </si>
  <si>
    <t>Kulamada qoyska</t>
  </si>
  <si>
    <t>Kalfadhiga baarlamanka</t>
  </si>
  <si>
    <t xml:space="preserve">HOGGAAMINTA DEGMADA </t>
  </si>
  <si>
    <t>MAGACA</t>
  </si>
  <si>
    <t xml:space="preserve">Jinsiga </t>
  </si>
  <si>
    <t xml:space="preserve">Heerka Waxbarashada </t>
  </si>
  <si>
    <t xml:space="preserve">Xilka </t>
  </si>
  <si>
    <t xml:space="preserve">number-ka </t>
  </si>
  <si>
    <t>QIIMEYN (%)</t>
  </si>
  <si>
    <t>XUSUUS</t>
  </si>
  <si>
    <t>Aadan xasan aadan</t>
  </si>
  <si>
    <t>Lab</t>
  </si>
  <si>
    <t xml:space="preserve">Degree </t>
  </si>
  <si>
    <t xml:space="preserve">Gudomiyaha dagmada </t>
  </si>
  <si>
    <t>Geli qiimeyn 0–100% qof kasta marka qiimeynta hoggaanka la sameeyo.</t>
  </si>
  <si>
    <t>Cusman Maxamad Xasan</t>
  </si>
  <si>
    <t xml:space="preserve">Lab </t>
  </si>
  <si>
    <t xml:space="preserve">G,Kuxigeenka </t>
  </si>
  <si>
    <t xml:space="preserve">Jamal xusen roble </t>
  </si>
  <si>
    <t>Madaxa . Arri.xisbiga</t>
  </si>
  <si>
    <t>Abdiftah Bashiir xasan</t>
  </si>
  <si>
    <t>Madaxa . Arri.siyaasada</t>
  </si>
  <si>
    <t>+251941841812</t>
  </si>
  <si>
    <t xml:space="preserve">Maxamed axmad Cabdi </t>
  </si>
  <si>
    <t xml:space="preserve">Hoganka nabadgalyada </t>
  </si>
  <si>
    <t>Rashid c/raxman cilmi</t>
  </si>
  <si>
    <t>Madaxa. Xafiska hor.beeraha</t>
  </si>
  <si>
    <t>Mukhtar xasan ganna</t>
  </si>
  <si>
    <t>Madaxa. Xafiska waxbarashada</t>
  </si>
  <si>
    <t>Shamsadiin xasan cali</t>
  </si>
  <si>
    <t>Madaxa. Xafiska hor.biyaha</t>
  </si>
  <si>
    <t>Farxaan nur farax</t>
  </si>
  <si>
    <t xml:space="preserve">Diploma </t>
  </si>
  <si>
    <t>Madaxa. Xafiska Hor.xolodhaqatada</t>
  </si>
  <si>
    <t>Bashir suleyman mamo</t>
  </si>
  <si>
    <t xml:space="preserve">Madaxa. Xafiska Dakhliga </t>
  </si>
  <si>
    <t>Cismaan aadan xuseen</t>
  </si>
  <si>
    <t xml:space="preserve">Madaxa. Xafiska G/Ganacsiga </t>
  </si>
  <si>
    <t>Xasan xusen maxamed</t>
  </si>
  <si>
    <t>Madaxa. xafiska adeega shacabka</t>
  </si>
  <si>
    <t xml:space="preserve">Safiyo cali ibrahin </t>
  </si>
  <si>
    <t>Dha</t>
  </si>
  <si>
    <t>Madaxa xafiska haweenka</t>
  </si>
  <si>
    <t>Maxamed Xuseen habaka</t>
  </si>
  <si>
    <t xml:space="preserve">Madaxa. Xafiska maleshiyada  </t>
  </si>
  <si>
    <t>Shukriya aden ibrahim</t>
  </si>
  <si>
    <t>DH</t>
  </si>
  <si>
    <t>Madaxa. Xafiiska iskaashatoyinka</t>
  </si>
  <si>
    <t>Ilhan cabdiqadir xasan</t>
  </si>
  <si>
    <t>Dh</t>
  </si>
  <si>
    <t>Madaxa. Xafiska sportiga</t>
  </si>
  <si>
    <t>Jamal cusman ibrahim</t>
  </si>
  <si>
    <t>l</t>
  </si>
  <si>
    <t>Caafimaad</t>
  </si>
  <si>
    <t xml:space="preserve">Axmaddeeq maxamed </t>
  </si>
  <si>
    <t>Maaliyada</t>
  </si>
  <si>
    <t>Qaasim daawuud</t>
  </si>
  <si>
    <t>Xeer ilaalinta</t>
  </si>
  <si>
    <t>Daahir aden maxamuud</t>
  </si>
  <si>
    <t>DRM</t>
  </si>
  <si>
    <t>DHAQAALAHA XISBIGA</t>
  </si>
  <si>
    <t>BARNAAMIJKA</t>
  </si>
  <si>
    <t>%</t>
  </si>
  <si>
    <t xml:space="preserve">Qaadhaanka shaqaalaha </t>
  </si>
  <si>
    <t>2,025,894</t>
  </si>
  <si>
    <t>1,862,048</t>
  </si>
  <si>
    <t xml:space="preserve">Dowlada </t>
  </si>
  <si>
    <t xml:space="preserve">Qaadhaanka  rer miyyiga </t>
  </si>
  <si>
    <t>Deeqda   xisbiga</t>
  </si>
  <si>
    <t>1,110,000</t>
  </si>
  <si>
    <t>Jaraaidka xisbiga</t>
  </si>
  <si>
    <t>36,000</t>
  </si>
  <si>
    <t xml:space="preserve">Buuga Medemer </t>
  </si>
  <si>
    <t>27,400</t>
  </si>
  <si>
    <t xml:space="preserve">Garabka haweenka </t>
  </si>
  <si>
    <t>47,400</t>
  </si>
  <si>
    <t xml:space="preserve">Garabka  dhalinyarada </t>
  </si>
  <si>
    <t>28,000</t>
  </si>
  <si>
    <t>ABAABULKA &amp; KA-QAYBGALKA DADWEYNAHA</t>
  </si>
  <si>
    <t>HAWLAHA</t>
  </si>
  <si>
    <t>TAARIIKH</t>
  </si>
  <si>
    <t>KA-QAYBGAL</t>
  </si>
  <si>
    <t xml:space="preserve">Waxqabadka </t>
  </si>
  <si>
    <t>Dadka ka qayb qaatey</t>
  </si>
  <si>
    <t xml:space="preserve">Xooga lacag ahaan </t>
  </si>
  <si>
    <t>Lacag cadaan ah ee la geliyey</t>
  </si>
  <si>
    <t>Wadarta Miisaaniyadeed</t>
  </si>
  <si>
    <t>lab</t>
  </si>
  <si>
    <t>dhadig</t>
  </si>
  <si>
    <t>wadar</t>
  </si>
  <si>
    <t>Dhoobo qaad</t>
  </si>
  <si>
    <t>412,000</t>
  </si>
  <si>
    <t>50,000</t>
  </si>
  <si>
    <t>462,000</t>
  </si>
  <si>
    <t>daashash</t>
  </si>
  <si>
    <t>193,000</t>
  </si>
  <si>
    <t>25,000</t>
  </si>
  <si>
    <t>218,000</t>
  </si>
  <si>
    <t xml:space="preserve">Dayactirka &amp;Dhismaha Deyrka </t>
  </si>
  <si>
    <t>35,400</t>
  </si>
  <si>
    <t>75,500</t>
  </si>
  <si>
    <t>110,900</t>
  </si>
  <si>
    <t>Nadiifinta magaalada</t>
  </si>
  <si>
    <t>130,000</t>
  </si>
  <si>
    <t>60,000</t>
  </si>
  <si>
    <t>190,000</t>
  </si>
  <si>
    <t>Qodaalka laba warood</t>
  </si>
  <si>
    <t>10,250,000</t>
  </si>
  <si>
    <t>Qodaalka godka anteenooyinka</t>
  </si>
  <si>
    <t>300,000</t>
  </si>
  <si>
    <t>180,000</t>
  </si>
  <si>
    <t>480,000</t>
  </si>
  <si>
    <t>Iibka saanada ciidanka maleeshiyada</t>
  </si>
  <si>
    <t>500,000</t>
  </si>
  <si>
    <t xml:space="preserve">Wadarta </t>
  </si>
  <si>
    <t>1,070,400</t>
  </si>
  <si>
    <t>11,140,500</t>
  </si>
  <si>
    <t>12,210,900</t>
  </si>
  <si>
    <t>CABASHOOYIN IYO XALLINTA</t>
  </si>
  <si>
    <t>KOOBID CABASHOOYIN</t>
  </si>
  <si>
    <t>NOOCA</t>
  </si>
  <si>
    <t>LA HELAY</t>
  </si>
  <si>
    <t>LA XALLIYAY</t>
  </si>
  <si>
    <t>TAAGAN</t>
  </si>
  <si>
    <t>Heer xallin</t>
  </si>
  <si>
    <t>WARBIXINTA BILEED</t>
  </si>
  <si>
    <t xml:space="preserve">INITIATIVE </t>
  </si>
  <si>
    <t>QORSHE</t>
  </si>
  <si>
    <t>CAQABAD</t>
  </si>
  <si>
    <t>TALLAABO XIGTA</t>
  </si>
  <si>
    <t>Dakhliga</t>
  </si>
  <si>
    <t>71,610,082.77</t>
  </si>
  <si>
    <t>58,036,054.9</t>
  </si>
  <si>
    <t>National ID</t>
  </si>
  <si>
    <t>20,000</t>
  </si>
  <si>
    <t>12,788</t>
  </si>
  <si>
    <t>Ethiocoders</t>
  </si>
  <si>
    <t>3,100</t>
  </si>
  <si>
    <t>2,700</t>
  </si>
  <si>
    <t>Dalag &amp;Daryeel (Ha)</t>
  </si>
  <si>
    <t>21,232</t>
  </si>
  <si>
    <t>18,456</t>
  </si>
  <si>
    <t>Raad Reebka Cagaaran</t>
  </si>
  <si>
    <t>84,680</t>
  </si>
  <si>
    <t>68,820</t>
  </si>
  <si>
    <t>Dhaqo oo Dheefso – Malabka (Kg)</t>
  </si>
  <si>
    <t>62,040</t>
  </si>
  <si>
    <t>41,600</t>
  </si>
  <si>
    <t>Dhaqo oo Dheefso -Caanaha (L)</t>
  </si>
  <si>
    <t>104,560</t>
  </si>
  <si>
    <t>72,000</t>
  </si>
  <si>
    <t>Dhaqo oo Dheefso -Ukunta</t>
  </si>
  <si>
    <t>958,040</t>
  </si>
  <si>
    <t>750,537</t>
  </si>
  <si>
    <t>Dayn Soo Celinta</t>
  </si>
  <si>
    <t xml:space="preserve"> 8,928,000</t>
  </si>
  <si>
    <t>6,738,660</t>
  </si>
  <si>
    <t>Dhimista Maciishada</t>
  </si>
  <si>
    <t>Ka bixidda Ku tiirsanaanta</t>
  </si>
  <si>
    <t>1,382</t>
  </si>
  <si>
    <t>Dayavtirka Dugsiyada</t>
  </si>
  <si>
    <t>Qaaraanka Soo Xaroodey</t>
  </si>
  <si>
    <t>936,520</t>
  </si>
  <si>
    <t>936,500</t>
  </si>
  <si>
    <t>Deeqda Soo Xarootey</t>
  </si>
  <si>
    <t>Mashruuca Muunada</t>
  </si>
  <si>
    <t>HAGAHA ISTICMAALKA DASHBOARD-KA</t>
  </si>
  <si>
    <t>NO.</t>
  </si>
  <si>
    <t>TILMAAMO</t>
  </si>
  <si>
    <t>1</t>
  </si>
  <si>
    <t>XUBNAHA GUUD</t>
  </si>
  <si>
    <t>Geli tirada xubnaha soo jireenka ah, cusub iyo xubin-sugayaasha.</t>
  </si>
  <si>
    <t>2</t>
  </si>
  <si>
    <t>17 QABALE</t>
  </si>
  <si>
    <t>Geli xubnaha hore iyo cusub; wadarta iyo qaybinta jinsiga si otomaatig ah ayay u xisaabmaan.</t>
  </si>
  <si>
    <t>3</t>
  </si>
  <si>
    <t>ACTIVITIES</t>
  </si>
  <si>
    <t>Geli Target iyo Fulay; boqolleyda iyo Heerka si otomaatig ah ayay u soo baxaan.</t>
  </si>
  <si>
    <t>4</t>
  </si>
  <si>
    <t>HOGGAAMINTA</t>
  </si>
  <si>
    <t>Geli qiimeyn 0–100% tiirka QIIMEYN (%).</t>
  </si>
  <si>
    <t>5</t>
  </si>
  <si>
    <t>6</t>
  </si>
  <si>
    <t>DADWEYNE</t>
  </si>
  <si>
    <t>Geli ka-qaybgalka iyo miisaaniyadda hawlaha.</t>
  </si>
  <si>
    <t>7</t>
  </si>
  <si>
    <t>Geli la helay iyo la xalliyay; Taagan si otomaatig ah ayuu u xisaabmaa.</t>
  </si>
  <si>
    <t>8</t>
  </si>
  <si>
    <t>INITIATIVES</t>
  </si>
  <si>
    <t>Geli Qorshe iyo Fulay; boqolleyda iyo Heerka si otomaatig ah ayay u soo baxaan.</t>
  </si>
  <si>
    <t>9</t>
  </si>
  <si>
    <t>DASHBOARD</t>
  </si>
  <si>
    <t>Dashboard-ku si toos ah ayuu u cusboonaysmaa marka xogta la beddelo.</t>
  </si>
  <si>
    <t>10</t>
  </si>
  <si>
    <t>HEERARKA</t>
  </si>
  <si>
    <t>SARE ≥80% | DHEXDHEXAAD 60–79% | HOOSE &lt;60%.</t>
  </si>
  <si>
    <t xml:space="preserve">celceliska qiimaynta Hoggaaminta </t>
  </si>
</sst>
</file>

<file path=xl/styles.xml><?xml version="1.0" encoding="utf-8"?>
<styleSheet xmlns="http://schemas.openxmlformats.org/spreadsheetml/2006/main">
  <numFmts count="4">
    <numFmt numFmtId="0" formatCode="General"/>
    <numFmt numFmtId="3" formatCode="#,##0"/>
    <numFmt numFmtId="9" formatCode="0%"/>
    <numFmt numFmtId="1" formatCode="0"/>
  </numFmts>
  <fonts count="20">
    <font>
      <name val="Calibri"/>
      <sz val="11"/>
    </font>
    <font>
      <name val="Calibri"/>
      <charset val="1"/>
      <sz val="11"/>
    </font>
    <font>
      <name val="Cambria"/>
      <b/>
      <charset val="1"/>
      <sz val="18"/>
      <color rgb="FFFFFFFF"/>
    </font>
    <font>
      <name val="Cambria"/>
      <charset val="1"/>
      <sz val="11"/>
    </font>
    <font>
      <name val="Cambria"/>
      <b/>
      <charset val="1"/>
      <sz val="11"/>
      <color rgb="FFFFFFFF"/>
    </font>
    <font>
      <name val="Cambria"/>
      <b/>
      <charset val="1"/>
      <sz val="20"/>
      <color rgb="FF203864"/>
    </font>
    <font>
      <name val="Cambria"/>
      <b/>
      <charset val="1"/>
      <sz val="14"/>
      <color rgb="FFFFFFFF"/>
    </font>
    <font>
      <name val="Cambria"/>
      <b/>
      <charset val="1"/>
      <sz val="28"/>
      <color rgb="FF203864"/>
    </font>
    <font>
      <name val="Cambria"/>
      <b/>
      <charset val="1"/>
      <sz val="24"/>
    </font>
    <font>
      <name val="Cambria"/>
      <b/>
      <charset val="1"/>
      <sz val="11"/>
    </font>
    <font>
      <name val="Cambria"/>
      <b/>
      <charset val="1"/>
      <sz val="16"/>
      <color rgb="FFFFFFFF"/>
    </font>
    <font>
      <name val="Calibri"/>
      <charset val="1"/>
      <sz val="11"/>
      <color rgb="FF000000"/>
    </font>
    <font>
      <name val="Times New Roman"/>
      <charset val="1"/>
      <sz val="20"/>
      <color rgb="FF000000"/>
    </font>
    <font>
      <name val="Times New Roman"/>
      <charset val="1"/>
      <sz val="18"/>
      <color rgb="FF000000"/>
    </font>
    <font>
      <name val="Bodoni MT"/>
      <charset val="1"/>
      <sz val="12"/>
      <color rgb="FF000000"/>
    </font>
    <font>
      <name val="Calibri"/>
      <charset val="1"/>
      <sz val="12"/>
      <color rgb="FF000000"/>
    </font>
    <font>
      <name val="Calibri"/>
      <charset val="1"/>
      <sz val="18"/>
      <color rgb="FF000000"/>
    </font>
    <font>
      <name val="Times New Roman"/>
      <b/>
      <charset val="1"/>
      <sz val="18"/>
      <color rgb="FF000000"/>
    </font>
    <font>
      <name val="Times New Roman"/>
      <b/>
      <charset val="1"/>
      <sz val="16"/>
      <color rgb="FF000000"/>
    </font>
    <font>
      <name val="Times New Roman"/>
      <charset val="1"/>
      <sz val="24"/>
      <color rgb="FF000000"/>
    </font>
  </fonts>
  <fills count="11">
    <fill>
      <patternFill patternType="none"/>
    </fill>
    <fill>
      <patternFill patternType="gray125"/>
    </fill>
    <fill>
      <patternFill patternType="solid">
        <fgColor rgb="FF17365D"/>
        <bgColor rgb="FF203864"/>
      </patternFill>
    </fill>
    <fill>
      <patternFill patternType="solid">
        <fgColor rgb="FF1F4E78"/>
        <bgColor rgb="FF203864"/>
      </patternFill>
    </fill>
    <fill>
      <patternFill patternType="solid">
        <fgColor rgb="FFD9EAF7"/>
        <bgColor rgb="FFD9E1F2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FFE8CB"/>
      </patternFill>
    </fill>
    <fill>
      <patternFill patternType="solid">
        <fgColor rgb="FFD9E1F2"/>
        <bgColor rgb="FFD9EAF7"/>
      </patternFill>
    </fill>
    <fill>
      <patternFill patternType="solid">
        <fgColor rgb="FFFFE8CB"/>
        <bgColor rgb="FFFFF2CC"/>
      </patternFill>
    </fill>
    <fill>
      <patternFill patternType="solid">
        <fgColor rgb="FFFFF4E7"/>
        <bgColor rgb="FFFFF2CC"/>
      </patternFill>
    </fill>
    <fill>
      <patternFill patternType="solid">
        <fgColor rgb="FFFFFFFF"/>
        <bgColor rgb="FFFFF4E7"/>
      </patternFill>
    </fill>
  </fills>
  <borders count="11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medium">
        <color rgb="FFFFC000"/>
      </left>
      <right style="medium">
        <color rgb="FFFFC000"/>
      </right>
      <top/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medium">
        <color indexed="0"/>
      </left>
      <right style="medium">
        <color indexed="0"/>
      </right>
      <top/>
      <bottom/>
      <diagonal/>
    </border>
    <border>
      <left style="medium">
        <color indexed="0"/>
      </left>
      <right style="medium">
        <color indexed="0"/>
      </right>
      <top/>
      <bottom style="medium">
        <color indexed="0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bottom"/>
    </xf>
    <xf numFmtId="0" fontId="4" fillId="3" borderId="0" xfId="0" applyFont="1" applyBorder="1" applyAlignment="1">
      <alignment horizontal="center" vertical="bottom"/>
    </xf>
    <xf numFmtId="3" fontId="5" fillId="4" borderId="0" xfId="0" applyFont="1" applyBorder="1" applyAlignment="1">
      <alignment horizontal="center" vertical="bottom"/>
    </xf>
    <xf numFmtId="0" fontId="6" fillId="3" borderId="0" xfId="0" applyFont="1" applyBorder="1" applyAlignment="1">
      <alignment horizontal="center" vertical="bottom"/>
    </xf>
    <xf numFmtId="9" fontId="7" fillId="5" borderId="0" xfId="0" applyFont="1" applyBorder="1" applyAlignment="1">
      <alignment horizontal="center" vertical="center"/>
    </xf>
    <xf numFmtId="0" fontId="8" fillId="6" borderId="0" xfId="0" applyFont="1" applyBorder="1" applyAlignment="1">
      <alignment horizontal="center" vertical="center"/>
    </xf>
    <xf numFmtId="0" fontId="9" fillId="7" borderId="1" xfId="0" applyFont="1" applyBorder="1" applyAlignment="1">
      <alignment vertical="bottom"/>
    </xf>
    <xf numFmtId="0" fontId="3" fillId="0" borderId="1" xfId="0" applyFont="1" applyBorder="1" applyAlignment="1">
      <alignment vertical="bottom"/>
    </xf>
    <xf numFmtId="9" fontId="3" fillId="0" borderId="1" xfId="0" applyFont="1" applyBorder="1" applyAlignment="1">
      <alignment vertical="bottom"/>
    </xf>
    <xf numFmtId="3" fontId="3" fillId="0" borderId="1" xfId="0" applyFont="1" applyBorder="1" applyAlignment="1">
      <alignment vertical="bottom"/>
    </xf>
    <xf numFmtId="9" fontId="3" fillId="0" borderId="0" xfId="0" applyFont="1" applyBorder="1" applyAlignment="1">
      <alignment vertical="bottom"/>
    </xf>
    <xf numFmtId="0" fontId="3" fillId="6" borderId="2" xfId="0" applyFont="1" applyBorder="1" applyAlignment="1">
      <alignment vertical="center" wrapText="1"/>
    </xf>
    <xf numFmtId="0" fontId="10" fillId="2" borderId="0" xfId="0" applyFont="1" applyBorder="1" applyAlignment="1">
      <alignment horizontal="center" vertical="center" wrapText="1"/>
    </xf>
    <xf numFmtId="0" fontId="4" fillId="3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bottom"/>
    </xf>
    <xf numFmtId="0" fontId="9" fillId="4" borderId="1" xfId="0" applyFont="1" applyBorder="1" applyAlignment="1">
      <alignment horizontal="center" vertical="bottom"/>
    </xf>
    <xf numFmtId="1" fontId="11" fillId="0" borderId="1" xfId="0" applyFont="1" applyBorder="1" applyAlignment="1">
      <alignment horizontal="center" vertical="bottom"/>
    </xf>
    <xf numFmtId="9" fontId="11" fillId="0" borderId="1" xfId="0" applyFont="1" applyBorder="1" applyAlignment="1">
      <alignment horizontal="center" vertical="bottom"/>
    </xf>
    <xf numFmtId="9" fontId="9" fillId="4" borderId="1" xfId="0" applyFont="1" applyBorder="1" applyAlignment="1">
      <alignment vertical="bottom"/>
    </xf>
    <xf numFmtId="0" fontId="12" fillId="8" borderId="3" xfId="0" applyFont="1" applyBorder="1" applyAlignment="1">
      <alignment horizontal="left" vertical="top" wrapText="1"/>
    </xf>
    <xf numFmtId="9" fontId="12" fillId="8" borderId="3" xfId="0" applyFont="1" applyBorder="1" applyAlignment="1">
      <alignment horizontal="left" vertical="top" wrapText="1"/>
    </xf>
    <xf numFmtId="0" fontId="1" fillId="8" borderId="3" xfId="0" applyFont="1" applyBorder="1" applyAlignment="1">
      <alignment vertical="top"/>
    </xf>
    <xf numFmtId="0" fontId="12" fillId="9" borderId="4" xfId="0" applyFont="1" applyBorder="1" applyAlignment="1">
      <alignment horizontal="left" vertical="top" wrapText="1"/>
    </xf>
    <xf numFmtId="9" fontId="12" fillId="9" borderId="4" xfId="0" applyFont="1" applyBorder="1" applyAlignment="1">
      <alignment horizontal="left" vertical="top" wrapText="1"/>
    </xf>
    <xf numFmtId="0" fontId="1" fillId="9" borderId="4" xfId="0" applyFont="1" applyBorder="1" applyAlignment="1">
      <alignment vertical="top"/>
    </xf>
    <xf numFmtId="0" fontId="12" fillId="8" borderId="4" xfId="0" applyFont="1" applyBorder="1" applyAlignment="1">
      <alignment horizontal="left" vertical="top" wrapText="1"/>
    </xf>
    <xf numFmtId="9" fontId="12" fillId="8" borderId="4" xfId="0" applyFont="1" applyBorder="1" applyAlignment="1">
      <alignment horizontal="left" vertical="top" wrapText="1"/>
    </xf>
    <xf numFmtId="0" fontId="1" fillId="8" borderId="4" xfId="0" applyFont="1" applyBorder="1" applyAlignment="1">
      <alignment vertical="top"/>
    </xf>
    <xf numFmtId="0" fontId="13" fillId="10" borderId="5" xfId="0" applyFont="1" applyBorder="1" applyAlignment="1">
      <alignment horizontal="left" vertical="top" wrapText="1"/>
    </xf>
    <xf numFmtId="9" fontId="1" fillId="10" borderId="5" xfId="0" applyFont="1" applyBorder="1" applyAlignment="1">
      <alignment vertical="top"/>
    </xf>
    <xf numFmtId="0" fontId="11" fillId="0" borderId="6" xfId="0" applyFont="1" applyBorder="1" applyAlignment="1">
      <alignment vertical="bottom"/>
    </xf>
    <xf numFmtId="0" fontId="13" fillId="10" borderId="7" xfId="0" applyFont="1" applyBorder="1" applyAlignment="1">
      <alignment horizontal="left" vertical="top" wrapText="1"/>
    </xf>
    <xf numFmtId="9" fontId="1" fillId="10" borderId="7" xfId="0" applyFont="1" applyBorder="1" applyAlignment="1">
      <alignment vertical="top"/>
    </xf>
    <xf numFmtId="0" fontId="13" fillId="10" borderId="7" xfId="0" applyFont="1" applyBorder="1" applyAlignment="1">
      <alignment vertical="top" wrapText="1"/>
    </xf>
    <xf numFmtId="9" fontId="11" fillId="0" borderId="6" xfId="0" applyFont="1" applyBorder="1" applyAlignment="1">
      <alignment vertical="bottom"/>
    </xf>
    <xf numFmtId="0" fontId="14" fillId="0" borderId="8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9" fontId="13" fillId="0" borderId="10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center" wrapText="1"/>
    </xf>
    <xf numFmtId="9" fontId="1" fillId="0" borderId="0" xfId="0" applyFont="1" applyAlignment="1">
      <alignment vertical="bottom"/>
    </xf>
    <xf numFmtId="0" fontId="13" fillId="0" borderId="8" xfId="0" applyFont="1" applyBorder="1" applyAlignment="1">
      <alignment horizontal="left" vertical="top" wrapText="1"/>
    </xf>
    <xf numFmtId="9" fontId="13" fillId="0" borderId="8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9" fontId="12" fillId="0" borderId="8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9" fontId="16" fillId="0" borderId="8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justify" vertical="top" wrapText="1"/>
    </xf>
    <xf numFmtId="0" fontId="19" fillId="0" borderId="8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center" vertical="bottom" wrapText="1"/>
    </xf>
    <xf numFmtId="0" fontId="9" fillId="4" borderId="8" xfId="0" applyFont="1" applyBorder="1" applyAlignment="1">
      <alignment horizontal="left" vertical="top" wrapText="1"/>
    </xf>
    <xf numFmtId="0" fontId="9" fillId="4" borderId="8" xfId="0" applyFont="1" applyBorder="1" applyAlignment="1">
      <alignment horizontal="center" vertical="bottom" wrapText="1"/>
    </xf>
    <xf numFmtId="0" fontId="4" fillId="2" borderId="0" xfId="0" applyFont="1" applyAlignment="1">
      <alignment vertical="bottom"/>
    </xf>
    <xf numFmtId="0" fontId="9" fillId="4" borderId="1" xfId="0" applyFont="1" applyBorder="1" applyAlignment="1">
      <alignment vertical="bottom"/>
    </xf>
    <xf numFmtId="0" fontId="1" fillId="0" borderId="1" xfId="0" applyFont="1" applyBorder="1" applyAlignment="1">
      <alignment vertical="bottom"/>
    </xf>
    <xf numFmtId="9" fontId="1" fillId="0" borderId="1" xfId="0" applyFont="1" applyBorder="1" applyAlignment="1">
      <alignment vertical="bottom"/>
    </xf>
    <xf numFmtId="0" fontId="13" fillId="0" borderId="8" xfId="0" applyFont="1" applyBorder="1" applyAlignment="1">
      <alignment horizontal="left" vertical="center" wrapText="1"/>
    </xf>
    <xf numFmtId="0" fontId="10" fillId="2" borderId="0" xfId="0" applyFont="1" applyBorder="1" applyAlignment="1">
      <alignment horizontal="center" vertical="center"/>
    </xf>
  </cellXfs>
  <cellStyles count="1">
    <cellStyle name="常规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78787"/>
      <rgbColor rgb="005B9BD5"/>
      <rgbColor rgb="00C0504D"/>
      <rgbColor rgb="00FFF2CC"/>
      <rgbColor rgb="00D9EAF7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9E1F2"/>
      <rgbColor rgb="00E2F0D9"/>
      <rgbColor rgb="00FFE8CB"/>
      <rgbColor rgb="00B7C9D6"/>
      <rgbColor rgb="00FF99CC"/>
      <rgbColor rgb="00CC99FF"/>
      <rgbColor rgb="00FFF4E7"/>
      <rgbColor rgb="003366FF"/>
      <rgbColor rgb="0033CCCC"/>
      <rgbColor rgb="009BBB59"/>
      <rgbColor rgb="00FFC000"/>
      <rgbColor rgb="00FF9900"/>
      <rgbColor rgb="00FF6600"/>
      <rgbColor rgb="004F81BD"/>
      <rgbColor rgb="00969696"/>
      <rgbColor rgb="0017365D"/>
      <rgbColor rgb="00339966"/>
      <rgbColor rgb="00003300"/>
      <rgbColor rgb="00333300"/>
      <rgbColor rgb="00993300"/>
      <rgbColor rgb="00993366"/>
      <rgbColor rgb="001F4E78"/>
      <rgbColor rgb="0020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www.wps.cn/officeDocument/2020/cellImage" Target="cellimages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latin typeface="Calibri"/>
              </a:rPr>
              <a:t>Heerka Waxqabadka Qaybaha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DASHBOARD!B13</c:f>
              <c:strCache>
                <c:ptCount val="1"/>
                <c:pt idx="0">
                  <c:v>HEERKA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DASHBOARD!$A$14:$A$16</c:f>
              <c:strCache>
                <c:ptCount val="3"/>
                <c:pt idx="0">
                  <c:v>Qorshe &amp; Waxqabad</c:v>
                </c:pt>
                <c:pt idx="1">
                  <c:v>Dhaqaale Xisbiga</c:v>
                </c:pt>
                <c:pt idx="2">
                  <c:v>Initiatives</c:v>
                </c:pt>
              </c:strCache>
            </c:strRef>
          </c:cat>
          <c:val>
            <c:numRef>
              <c:f>DASHBOARD!$B$14:$B$16</c:f>
              <c:numCache>
                <c:formatCode>0%</c:formatCode>
                <c:ptCount val="3"/>
                <c:pt idx="0">
                  <c:v>0.975714285714286</c:v>
                </c:pt>
                <c:pt idx="1">
                  <c:v>0.992857142857143</c:v>
                </c:pt>
                <c:pt idx="2">
                  <c:v>0.792666666666667</c:v>
                </c:pt>
              </c:numCache>
            </c:numRef>
          </c:val>
        </c:ser>
        <c:gapWidth val="150"/>
        <c:overlap val="0"/>
        <c:axId val="40474960"/>
        <c:axId val="60930161"/>
      </c:barChart>
      <c:catAx>
        <c:axId val="4047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30161"/>
        <c:crosses val="autoZero"/>
        <c:auto val="1"/>
        <c:lblAlgn val="ctr"/>
        <c:lblOffset val="100"/>
        <c:noMultiLvlLbl val="0"/>
      </c:catAx>
      <c:valAx>
        <c:axId val="60930161"/>
        <c:scaling>
          <c:orientation val="minMax"/>
          <c:max val="1.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749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latin typeface="Calibri"/>
              </a:rPr>
              <a:t>Qaybinta Xubnaha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DASHBOARD!$E$14:$E$16</c:f>
              <c:strCache>
                <c:ptCount val="3"/>
                <c:pt idx="0">
                  <c:v>Soo jireen</c:v>
                </c:pt>
                <c:pt idx="1">
                  <c:v>Cusub</c:v>
                </c:pt>
                <c:pt idx="2">
                  <c:v>Xubin-sugayaal</c:v>
                </c:pt>
              </c:strCache>
            </c:strRef>
          </c:cat>
          <c:val>
            <c:numRef>
              <c:f>DASHBOARD!$F$14:$F$16</c:f>
              <c:numCache>
                <c:formatCode>#,##0</c:formatCode>
                <c:ptCount val="3"/>
                <c:pt idx="0">
                  <c:v>15478.0</c:v>
                </c:pt>
                <c:pt idx="1">
                  <c:v>144.0</c:v>
                </c:pt>
                <c:pt idx="2">
                  <c:v>836.0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latin typeface="Calibri"/>
              </a:rPr>
              <a:t>Heerka Waxqabadka Qaybaha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DASHBOARD!B13</c:f>
              <c:strCache>
                <c:ptCount val="1"/>
                <c:pt idx="0">
                  <c:v>HEERKA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DASHBOARD!$A$14:$A$16</c:f>
              <c:strCache>
                <c:ptCount val="3"/>
                <c:pt idx="0">
                  <c:v>Qorshe &amp; Waxqabad</c:v>
                </c:pt>
                <c:pt idx="1">
                  <c:v>Dhaqaale Xisbiga</c:v>
                </c:pt>
                <c:pt idx="2">
                  <c:v>Initiatives</c:v>
                </c:pt>
              </c:strCache>
            </c:strRef>
          </c:cat>
          <c:val>
            <c:numRef>
              <c:f>DASHBOARD!$B$14:$B$16</c:f>
              <c:numCache>
                <c:formatCode>0%</c:formatCode>
                <c:ptCount val="3"/>
                <c:pt idx="0">
                  <c:v>0.975714285714286</c:v>
                </c:pt>
                <c:pt idx="1">
                  <c:v>0.992857142857143</c:v>
                </c:pt>
                <c:pt idx="2">
                  <c:v>0.792666666666667</c:v>
                </c:pt>
              </c:numCache>
            </c:numRef>
          </c:val>
        </c:ser>
        <c:gapWidth val="150"/>
        <c:overlap val="0"/>
        <c:axId val="40474960"/>
        <c:axId val="60930161"/>
      </c:barChart>
      <c:catAx>
        <c:axId val="4047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30161"/>
        <c:crosses val="autoZero"/>
        <c:auto val="1"/>
        <c:lblAlgn val="ctr"/>
        <c:lblOffset val="100"/>
        <c:noMultiLvlLbl val="0"/>
      </c:catAx>
      <c:valAx>
        <c:axId val="60930161"/>
        <c:scaling>
          <c:orientation val="minMax"/>
          <c:max val="1.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749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latin typeface="Calibri"/>
              </a:rPr>
              <a:t>Qaybinta Xubnaha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DASHBOARD!$E$14:$E$16</c:f>
              <c:strCache>
                <c:ptCount val="3"/>
                <c:pt idx="0">
                  <c:v>Soo jireen</c:v>
                </c:pt>
                <c:pt idx="1">
                  <c:v>Cusub</c:v>
                </c:pt>
                <c:pt idx="2">
                  <c:v>Xubin-sugayaal</c:v>
                </c:pt>
              </c:strCache>
            </c:strRef>
          </c:cat>
          <c:val>
            <c:numRef>
              <c:f>DASHBOARD!$F$14:$F$16</c:f>
              <c:numCache>
                <c:formatCode>#,##0</c:formatCode>
                <c:ptCount val="3"/>
                <c:pt idx="0">
                  <c:v>15478.0</c:v>
                </c:pt>
                <c:pt idx="1">
                  <c:v>144.0</c:v>
                </c:pt>
                <c:pt idx="2">
                  <c:v>836.0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29</xdr:row>
      <xdr:rowOff>0</xdr:rowOff>
    </xdr:from>
    <xdr:to>
      <xdr:col>3</xdr:col>
      <xdr:colOff>998887</xdr:colOff>
      <xdr:row>42</xdr:row>
      <xdr:rowOff>37951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29</xdr:row>
      <xdr:rowOff>0</xdr:rowOff>
    </xdr:from>
    <xdr:to>
      <xdr:col>9</xdr:col>
      <xdr:colOff>0</xdr:colOff>
      <xdr:row>42</xdr:row>
      <xdr:rowOff>37951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29</xdr:row>
      <xdr:rowOff>0</xdr:rowOff>
    </xdr:from>
    <xdr:to>
      <xdr:col>3</xdr:col>
      <xdr:colOff>998887</xdr:colOff>
      <xdr:row>42</xdr:row>
      <xdr:rowOff>37951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29</xdr:row>
      <xdr:rowOff>0</xdr:rowOff>
    </xdr:from>
    <xdr:to>
      <xdr:col>9</xdr:col>
      <xdr:colOff>0</xdr:colOff>
      <xdr:row>42</xdr:row>
      <xdr:rowOff>37951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45"/>
  <sheetViews>
    <sheetView workbookViewId="0" showGridLines="0" zoomScale="40">
      <selection activeCell="A19" sqref="A19"/>
    </sheetView>
  </sheetViews>
  <sheetFormatPr defaultRowHeight="15.0" customHeight="1" defaultColWidth="10" zeroHeight="1"/>
  <cols>
    <col min="1" max="1" customWidth="1" width="28.0" style="0"/>
    <col min="2" max="2" customWidth="1" width="15.0" style="0"/>
    <col min="3" max="3" customWidth="1" width="4.0" style="0"/>
    <col min="4" max="4" customWidth="1" width="28.0" style="0"/>
    <col min="5" max="5" customWidth="1" width="15.0" style="0"/>
    <col min="6" max="6" customWidth="1" width="4.0" style="0"/>
    <col min="7" max="7" customWidth="1" width="28.0" style="0"/>
    <col min="8" max="8" customWidth="1" width="15.0" style="0"/>
    <col min="9" max="9" customWidth="1" width="4.0" style="1"/>
    <col min="10" max="10" customWidth="1" width="28.0" style="1"/>
    <col min="11" max="11" customWidth="1" width="15.0" style="1"/>
  </cols>
  <sheetData>
    <row r="1" spans="8:8" ht="15.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8:8" ht="34.6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8:8" ht="3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8:8" ht="15.0">
      <c r="A4" s="4" t="s">
        <v>1</v>
      </c>
      <c r="B4" s="4"/>
      <c r="C4" s="3"/>
      <c r="D4" s="4" t="s">
        <v>2</v>
      </c>
      <c r="E4" s="4"/>
      <c r="F4" s="3"/>
      <c r="G4" s="4" t="s">
        <v>3</v>
      </c>
      <c r="H4" s="4"/>
      <c r="I4" s="3"/>
      <c r="J4" s="4" t="s">
        <v>4</v>
      </c>
      <c r="K4" s="4"/>
    </row>
    <row r="5" spans="8:8" ht="24.6">
      <c r="A5" s="5">
        <f>'XUBNAHA GUUD '!B6</f>
        <v>16458.0</v>
      </c>
      <c r="B5" s="5"/>
      <c r="C5" s="3"/>
      <c r="D5" s="5">
        <f>'XUBNAHA GUUD '!C6</f>
        <v>6753.0</v>
      </c>
      <c r="E5" s="5"/>
      <c r="F5" s="3"/>
      <c r="G5" s="5">
        <f>'XUBNAHA GUUD '!D6</f>
        <v>9705.0</v>
      </c>
      <c r="H5" s="5"/>
      <c r="I5" s="3"/>
      <c r="J5" s="5">
        <f>'XUBNAHA GUUD '!B5</f>
        <v>836.0</v>
      </c>
      <c r="K5" s="5"/>
    </row>
    <row r="6" spans="8:8" ht="15.0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8:8" ht="15.0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8:8" ht="17.35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8:8" ht="15.0">
      <c r="A9" s="7">
        <f>_xlfn.IFERROR(AVERAGE(B14:B16),0)</f>
        <v>0.9204126984126985</v>
      </c>
      <c r="B9" s="7"/>
      <c r="C9" s="7"/>
      <c r="D9" s="7"/>
      <c r="E9" s="7"/>
      <c r="F9" s="7"/>
      <c r="G9" s="8" t="str">
        <f>IF(A9&gt;=0.8,"SARE",IF(A9&gt;=0.6,"DHEXDHEXAAD","HOOSE"))</f>
        <v>SARE</v>
      </c>
      <c r="H9" s="8"/>
      <c r="I9" s="8"/>
      <c r="J9" s="8"/>
      <c r="K9" s="8"/>
    </row>
    <row r="10" spans="8:8" ht="15.0">
      <c r="A10" s="7"/>
      <c r="B10" s="7"/>
      <c r="C10" s="7"/>
      <c r="D10" s="7"/>
      <c r="E10" s="7"/>
      <c r="F10" s="7"/>
      <c r="G10" s="8"/>
      <c r="H10" s="8"/>
      <c r="I10" s="8"/>
      <c r="J10" s="8"/>
      <c r="K10" s="8"/>
    </row>
    <row r="11" spans="8:8" ht="15.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8:8" ht="15.0">
      <c r="A12" s="4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8:8" ht="15.0">
      <c r="A13" s="9" t="s">
        <v>7</v>
      </c>
      <c r="B13" s="9" t="s">
        <v>8</v>
      </c>
      <c r="C13" s="9" t="s">
        <v>9</v>
      </c>
      <c r="D13" s="3"/>
      <c r="E13" s="4" t="s">
        <v>10</v>
      </c>
      <c r="F13" s="4"/>
      <c r="G13" s="4"/>
      <c r="H13" s="4"/>
      <c r="I13" s="4" t="s">
        <v>11</v>
      </c>
      <c r="J13" s="4"/>
      <c r="K13" s="4"/>
    </row>
    <row r="14" spans="8:8" ht="15.0">
      <c r="A14" s="10" t="s">
        <v>12</v>
      </c>
      <c r="B14" s="11">
        <f>_xlfn.IFERROR(AVERAGE('ACTIVITIES '!E3:E15),0)</f>
        <v>0.9757142857142858</v>
      </c>
      <c r="C14" s="10" t="s">
        <v>13</v>
      </c>
      <c r="D14" s="3"/>
      <c r="E14" s="10" t="s">
        <v>14</v>
      </c>
      <c r="F14" s="12">
        <f>'XUBNAHA GUUD '!B3</f>
        <v>15478.0</v>
      </c>
      <c r="G14" s="3"/>
      <c r="H14" s="3"/>
      <c r="I14" s="10" t="s">
        <v>15</v>
      </c>
      <c r="J14" s="10">
        <v>3275630.52</v>
      </c>
      <c r="K14" s="3"/>
    </row>
    <row r="15" spans="8:8" ht="15.0">
      <c r="A15" s="10" t="s">
        <v>16</v>
      </c>
      <c r="B15" s="11">
        <f>_xlfn.IFERROR(AVERAGE('DHAQAALAHA XISBIGA '!D3:D10),0)</f>
        <v>0.9928571428571429</v>
      </c>
      <c r="C15" s="10" t="s">
        <v>13</v>
      </c>
      <c r="D15" s="3"/>
      <c r="E15" s="10" t="s">
        <v>17</v>
      </c>
      <c r="F15" s="12">
        <f>'XUBNAHA GUUD '!B4</f>
        <v>144.0</v>
      </c>
      <c r="G15" s="3"/>
      <c r="H15" s="3"/>
      <c r="I15" s="10" t="s">
        <v>18</v>
      </c>
      <c r="J15" s="10">
        <v>3111784.5</v>
      </c>
      <c r="K15" s="3"/>
    </row>
    <row r="16" spans="8:8" ht="15.0">
      <c r="A16" s="10" t="s">
        <v>19</v>
      </c>
      <c r="B16" s="11">
        <f>_xlfn.IFERROR(AVERAGE('INITIATIVES '!D3:D17),0)</f>
        <v>0.7926666666666667</v>
      </c>
      <c r="C16" s="10" t="s">
        <v>13</v>
      </c>
      <c r="D16" s="3"/>
      <c r="E16" s="10" t="s">
        <v>20</v>
      </c>
      <c r="F16" s="12">
        <f>'XUBNAHA GUUD '!B5</f>
        <v>836.0</v>
      </c>
      <c r="G16" s="3"/>
      <c r="H16" s="3"/>
      <c r="I16" s="10" t="s">
        <v>21</v>
      </c>
      <c r="J16" s="11">
        <f>_xlfn.IFERROR(J15/J14,0)</f>
        <v>0.9499803109662075</v>
      </c>
      <c r="K16" s="3"/>
    </row>
    <row r="17" spans="8:8" ht="15.25">
      <c r="A17" s="10" t="s">
        <v>22</v>
      </c>
      <c r="B17" s="11" t="s">
        <v>23</v>
      </c>
      <c r="C17" s="10"/>
      <c r="D17" s="3"/>
      <c r="E17" s="10" t="s">
        <v>25</v>
      </c>
      <c r="F17" s="12">
        <f>'17 QABALE'!D21</f>
        <v>18058.0</v>
      </c>
      <c r="G17" s="3"/>
      <c r="H17" s="3"/>
      <c r="I17" s="3"/>
      <c r="J17" s="3"/>
      <c r="K17" s="3"/>
    </row>
    <row r="18" spans="8:8" ht="15.25">
      <c r="A18" s="10" t="s">
        <v>298</v>
      </c>
      <c r="B18" s="11">
        <v>0.9</v>
      </c>
      <c r="C18" s="10"/>
      <c r="D18" s="3"/>
      <c r="E18" s="3"/>
      <c r="F18" s="3"/>
      <c r="G18" s="3"/>
      <c r="H18" s="3"/>
      <c r="I18" s="3"/>
      <c r="J18" s="3"/>
      <c r="K18" s="3"/>
    </row>
    <row r="19" spans="8:8" ht="15.0">
      <c r="A19" s="3"/>
      <c r="B19" s="13"/>
      <c r="C19" s="3"/>
      <c r="D19" s="3"/>
      <c r="E19" s="3"/>
      <c r="F19" s="3"/>
      <c r="G19" s="3"/>
      <c r="H19" s="3"/>
      <c r="I19" s="3"/>
      <c r="J19" s="3"/>
      <c r="K19" s="3"/>
    </row>
    <row r="20" spans="8:8" ht="15.0">
      <c r="A20" s="4" t="s">
        <v>28</v>
      </c>
      <c r="B20" s="4"/>
      <c r="C20" s="3"/>
      <c r="D20" s="4" t="s">
        <v>29</v>
      </c>
      <c r="E20" s="4"/>
      <c r="F20" s="4"/>
      <c r="G20" s="4"/>
      <c r="H20" s="4"/>
      <c r="I20" s="4" t="s">
        <v>30</v>
      </c>
      <c r="J20" s="4"/>
      <c r="K20" s="4"/>
    </row>
    <row r="21" spans="8:8" ht="15.0">
      <c r="A21" s="10" t="s">
        <v>31</v>
      </c>
      <c r="B21" s="12">
        <f>'17 QABALE'!B21</f>
        <v>14884.0</v>
      </c>
      <c r="C21" s="3"/>
      <c r="D21" s="10" t="s">
        <v>32</v>
      </c>
      <c r="E21" s="12">
        <f>SUM(DADWEYNE!B5:B11)</f>
        <v>384.0</v>
      </c>
      <c r="F21" s="3"/>
      <c r="G21" s="3"/>
      <c r="H21" s="3"/>
      <c r="I21" s="10" t="s">
        <v>33</v>
      </c>
      <c r="J21" s="10">
        <f>SUM(CABASHOOYIN!C3:C22)</f>
        <v>0.0</v>
      </c>
      <c r="K21" s="3"/>
    </row>
    <row r="22" spans="8:8" ht="15.0">
      <c r="A22" s="10" t="s">
        <v>34</v>
      </c>
      <c r="B22" s="12">
        <f>'17 QABALE'!C21</f>
        <v>3174.0</v>
      </c>
      <c r="C22" s="3"/>
      <c r="D22" s="10" t="s">
        <v>35</v>
      </c>
      <c r="E22" s="12">
        <f>SUM(DADWEYNE!C5:C11)</f>
        <v>160.0</v>
      </c>
      <c r="F22" s="3"/>
      <c r="G22" s="3"/>
      <c r="H22" s="3"/>
      <c r="I22" s="10" t="s">
        <v>36</v>
      </c>
      <c r="J22" s="10">
        <f>SUM(CABASHOOYIN!D3:D22)</f>
        <v>0.0</v>
      </c>
      <c r="K22" s="3"/>
    </row>
    <row r="23" spans="8:8" ht="15.0">
      <c r="A23" s="10" t="s">
        <v>37</v>
      </c>
      <c r="B23" s="12">
        <f>'17 QABALE'!D21</f>
        <v>18058.0</v>
      </c>
      <c r="C23" s="3"/>
      <c r="D23" s="10" t="s">
        <v>37</v>
      </c>
      <c r="E23" s="12">
        <f>SUM(DADWEYNE!D5:D11)</f>
        <v>545.0</v>
      </c>
      <c r="F23" s="3"/>
      <c r="G23" s="3"/>
      <c r="H23" s="3"/>
      <c r="I23" s="10" t="s">
        <v>38</v>
      </c>
      <c r="J23" s="10">
        <f>SUM(CABASHOOYIN!E3:E22)</f>
        <v>0.0</v>
      </c>
      <c r="K23" s="3"/>
    </row>
    <row r="24" spans="8:8" ht="15.0">
      <c r="A24" s="10" t="s">
        <v>39</v>
      </c>
      <c r="B24" s="12">
        <f>'17 QABALE'!E21</f>
        <v>11737.7</v>
      </c>
      <c r="C24" s="3"/>
      <c r="D24" s="10" t="s">
        <v>40</v>
      </c>
      <c r="E24" s="12">
        <f>SUM(DADWEYNE!G5:G11)</f>
        <v>0.0</v>
      </c>
      <c r="F24" s="3"/>
      <c r="G24" s="3"/>
      <c r="H24" s="3"/>
      <c r="I24" s="3"/>
      <c r="J24" s="3"/>
      <c r="K24" s="3"/>
    </row>
    <row r="25" spans="8:8" ht="15.0">
      <c r="A25" s="10" t="s">
        <v>41</v>
      </c>
      <c r="B25" s="12">
        <f>'17 QABALE'!F21</f>
        <v>6320.299999999998</v>
      </c>
      <c r="C25" s="3"/>
      <c r="D25" s="3"/>
      <c r="E25" s="3"/>
      <c r="F25" s="3"/>
      <c r="G25" s="3"/>
      <c r="H25" s="3"/>
      <c r="I25" s="3"/>
      <c r="J25" s="3"/>
      <c r="K25" s="3"/>
    </row>
    <row r="26" spans="8:8" ht="15.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8:8" ht="15.0" customHeight="1">
      <c r="A27" s="14" t="s">
        <v>42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8:8" ht="15.0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8:8" ht="15.0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8:8" ht="15.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8:8" ht="15.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8:8" ht="15.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8:8" ht="15.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8:8" ht="15.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8:8" ht="15.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8:8" ht="15.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8:8" ht="15.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8:8" ht="15.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8:8" ht="15.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8:8" ht="15.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8:8" ht="15.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8:8" ht="15.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8:8" ht="15.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8:8" ht="15.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8:8" ht="15.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</sheetData>
  <mergeCells count="19">
    <mergeCell ref="A1:K2"/>
    <mergeCell ref="E13:H13"/>
    <mergeCell ref="A9:F10"/>
    <mergeCell ref="D5:E5"/>
    <mergeCell ref="A4:B4"/>
    <mergeCell ref="D20:H20"/>
    <mergeCell ref="I20:K20"/>
    <mergeCell ref="A27:K29"/>
    <mergeCell ref="J4:K4"/>
    <mergeCell ref="A12:K12"/>
    <mergeCell ref="I13:K13"/>
    <mergeCell ref="A8:K8"/>
    <mergeCell ref="G5:H5"/>
    <mergeCell ref="A5:B5"/>
    <mergeCell ref="G4:H4"/>
    <mergeCell ref="G9:K10"/>
    <mergeCell ref="A20:B20"/>
    <mergeCell ref="J5:K5"/>
    <mergeCell ref="D4:E4"/>
  </mergeCells>
  <conditionalFormatting sqref="G3:G21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E3:E32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B14:B16">
    <cfRule type="colorScale" priority="5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D3:D22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25" right="0.25" top="0.4" bottom="0.4" header="0.511811023622047" footer="0.511811023622047"/>
  <pageSetup paperSize="8" fitToHeight="0" orientation="landscape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45"/>
  <sheetViews>
    <sheetView tabSelected="1" workbookViewId="0" showGridLines="0" zoomScale="30">
      <selection activeCell="E13" sqref="E13:H13"/>
    </sheetView>
  </sheetViews>
  <sheetFormatPr defaultRowHeight="15.0" customHeight="1" defaultColWidth="10" zeroHeight="1"/>
  <cols>
    <col min="1" max="1" customWidth="1" width="28.0" style="0"/>
    <col min="2" max="2" customWidth="1" width="15.0" style="0"/>
    <col min="3" max="3" customWidth="1" width="4.0" style="0"/>
    <col min="4" max="4" customWidth="1" width="28.0" style="0"/>
    <col min="5" max="5" customWidth="1" width="15.0" style="0"/>
    <col min="6" max="6" customWidth="1" width="4.0" style="0"/>
    <col min="7" max="7" customWidth="1" width="28.0" style="0"/>
    <col min="8" max="8" customWidth="1" width="15.0" style="0"/>
    <col min="9" max="9" customWidth="1" width="4.0" style="1"/>
    <col min="10" max="10" customWidth="1" width="28.0" style="1"/>
    <col min="11" max="11" customWidth="1" width="15.0" style="1"/>
  </cols>
  <sheetData>
    <row r="1" spans="8:8" ht="15.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8:8" ht="34.6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8:8" ht="3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8:8" ht="15.0">
      <c r="A4" s="4" t="s">
        <v>1</v>
      </c>
      <c r="B4" s="4"/>
      <c r="C4" s="3"/>
      <c r="D4" s="4" t="s">
        <v>2</v>
      </c>
      <c r="E4" s="4"/>
      <c r="F4" s="3"/>
      <c r="G4" s="4" t="s">
        <v>3</v>
      </c>
      <c r="H4" s="4"/>
      <c r="I4" s="3"/>
      <c r="J4" s="4" t="s">
        <v>4</v>
      </c>
      <c r="K4" s="4"/>
    </row>
    <row r="5" spans="8:8" ht="24.6">
      <c r="A5" s="5">
        <f>'XUBNAHA GUUD '!B6</f>
        <v>16458.0</v>
      </c>
      <c r="B5" s="5"/>
      <c r="C5" s="3"/>
      <c r="D5" s="5">
        <f>'XUBNAHA GUUD '!C6</f>
        <v>6753.0</v>
      </c>
      <c r="E5" s="5"/>
      <c r="F5" s="3"/>
      <c r="G5" s="5">
        <f>'XUBNAHA GUUD '!D6</f>
        <v>9705.0</v>
      </c>
      <c r="H5" s="5"/>
      <c r="I5" s="3"/>
      <c r="J5" s="5">
        <f>'XUBNAHA GUUD '!B5</f>
        <v>836.0</v>
      </c>
      <c r="K5" s="5"/>
    </row>
    <row r="6" spans="8:8" ht="15.0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8:8" ht="15.0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8:8" ht="17.35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8:8" ht="15.0">
      <c r="A9" s="7">
        <f>_xlfn.IFERROR(AVERAGE(B14:B16),0)</f>
        <v>0.9204126984126985</v>
      </c>
      <c r="B9" s="7"/>
      <c r="C9" s="7"/>
      <c r="D9" s="7"/>
      <c r="E9" s="7"/>
      <c r="F9" s="7"/>
      <c r="G9" s="8" t="str">
        <f>IF(A9&gt;=0.8,"SARE",IF(A9&gt;=0.6,"DHEXDHEXAAD","HOOSE"))</f>
        <v>SARE</v>
      </c>
      <c r="H9" s="8"/>
      <c r="I9" s="8"/>
      <c r="J9" s="8"/>
      <c r="K9" s="8"/>
    </row>
    <row r="10" spans="8:8" ht="15.0">
      <c r="A10" s="7"/>
      <c r="B10" s="7"/>
      <c r="C10" s="7"/>
      <c r="D10" s="7"/>
      <c r="E10" s="7"/>
      <c r="F10" s="7"/>
      <c r="G10" s="8"/>
      <c r="H10" s="8"/>
      <c r="I10" s="8"/>
      <c r="J10" s="8"/>
      <c r="K10" s="8"/>
    </row>
    <row r="11" spans="8:8" ht="15.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8:8" ht="15.0">
      <c r="A12" s="4" t="s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8:8" ht="15.0">
      <c r="A13" s="9" t="s">
        <v>7</v>
      </c>
      <c r="B13" s="9" t="s">
        <v>8</v>
      </c>
      <c r="C13" s="9" t="s">
        <v>9</v>
      </c>
      <c r="D13" s="3"/>
      <c r="E13" s="4" t="s">
        <v>10</v>
      </c>
      <c r="F13" s="4"/>
      <c r="G13" s="4"/>
      <c r="H13" s="4"/>
      <c r="I13" s="4" t="s">
        <v>11</v>
      </c>
      <c r="J13" s="4"/>
      <c r="K13" s="4"/>
    </row>
    <row r="14" spans="8:8" ht="15.0">
      <c r="A14" s="10" t="s">
        <v>12</v>
      </c>
      <c r="B14" s="11">
        <f>_xlfn.IFERROR(AVERAGE('ACTIVITIES '!E3:E15),0)</f>
        <v>0.9757142857142858</v>
      </c>
      <c r="C14" s="10" t="s">
        <v>13</v>
      </c>
      <c r="D14" s="3"/>
      <c r="E14" s="10" t="s">
        <v>14</v>
      </c>
      <c r="F14" s="12">
        <f>'XUBNAHA GUUD '!B3</f>
        <v>15478.0</v>
      </c>
      <c r="G14" s="3"/>
      <c r="H14" s="3"/>
      <c r="I14" s="10" t="s">
        <v>15</v>
      </c>
      <c r="J14" s="10">
        <v>3275630.52</v>
      </c>
      <c r="K14" s="3"/>
    </row>
    <row r="15" spans="8:8" ht="15.0">
      <c r="A15" s="10" t="s">
        <v>16</v>
      </c>
      <c r="B15" s="11">
        <f>_xlfn.IFERROR(AVERAGE('DHAQAALAHA XISBIGA '!D3:D10),0)</f>
        <v>0.9928571428571429</v>
      </c>
      <c r="C15" s="10" t="s">
        <v>13</v>
      </c>
      <c r="D15" s="3"/>
      <c r="E15" s="10" t="s">
        <v>17</v>
      </c>
      <c r="F15" s="12">
        <f>'XUBNAHA GUUD '!B4</f>
        <v>144.0</v>
      </c>
      <c r="G15" s="3"/>
      <c r="H15" s="3"/>
      <c r="I15" s="10" t="s">
        <v>18</v>
      </c>
      <c r="J15" s="10">
        <v>3111784.5</v>
      </c>
      <c r="K15" s="3"/>
    </row>
    <row r="16" spans="8:8" ht="15.0">
      <c r="A16" s="10" t="s">
        <v>19</v>
      </c>
      <c r="B16" s="11">
        <f>_xlfn.IFERROR(AVERAGE('INITIATIVES '!D3:D17),0)</f>
        <v>0.7926666666666667</v>
      </c>
      <c r="C16" s="10" t="s">
        <v>13</v>
      </c>
      <c r="D16" s="3"/>
      <c r="E16" s="10" t="s">
        <v>20</v>
      </c>
      <c r="F16" s="12">
        <f>'XUBNAHA GUUD '!B5</f>
        <v>836.0</v>
      </c>
      <c r="G16" s="3"/>
      <c r="H16" s="3"/>
      <c r="I16" s="10" t="s">
        <v>21</v>
      </c>
      <c r="J16" s="11">
        <f>_xlfn.IFERROR(J15/J14,0)</f>
        <v>0.9499803109662075</v>
      </c>
      <c r="K16" s="3"/>
    </row>
    <row r="17" spans="8:8" ht="15.25">
      <c r="A17" s="10" t="s">
        <v>22</v>
      </c>
      <c r="B17" s="11" t="s">
        <v>23</v>
      </c>
      <c r="C17" s="10"/>
      <c r="D17" s="3"/>
      <c r="E17" s="10" t="s">
        <v>25</v>
      </c>
      <c r="F17" s="12">
        <f>'17 QABALE'!D21</f>
        <v>18058.0</v>
      </c>
      <c r="G17" s="3"/>
      <c r="H17" s="3"/>
      <c r="I17" s="3"/>
      <c r="J17" s="3"/>
      <c r="K17" s="3"/>
    </row>
    <row r="18" spans="8:8" ht="15.25">
      <c r="A18" s="10" t="s">
        <v>298</v>
      </c>
      <c r="B18" s="11">
        <v>0.9</v>
      </c>
      <c r="C18" s="10"/>
      <c r="D18" s="3"/>
      <c r="E18" s="3"/>
      <c r="F18" s="3"/>
      <c r="G18" s="3"/>
      <c r="H18" s="3"/>
      <c r="I18" s="3"/>
      <c r="J18" s="3"/>
      <c r="K18" s="3"/>
    </row>
    <row r="19" spans="8:8" ht="15.0">
      <c r="A19" s="3"/>
      <c r="B19" s="13"/>
      <c r="C19" s="3"/>
      <c r="D19" s="3"/>
      <c r="E19" s="3"/>
      <c r="F19" s="3"/>
      <c r="G19" s="3"/>
      <c r="H19" s="3"/>
      <c r="I19" s="3"/>
      <c r="J19" s="3"/>
      <c r="K19" s="3"/>
    </row>
    <row r="20" spans="8:8" ht="15.0">
      <c r="A20" s="4" t="s">
        <v>28</v>
      </c>
      <c r="B20" s="4"/>
      <c r="C20" s="3"/>
      <c r="D20" s="4" t="s">
        <v>29</v>
      </c>
      <c r="E20" s="4"/>
      <c r="F20" s="4"/>
      <c r="G20" s="4"/>
      <c r="H20" s="4"/>
      <c r="I20" s="4" t="s">
        <v>30</v>
      </c>
      <c r="J20" s="4"/>
      <c r="K20" s="4"/>
    </row>
    <row r="21" spans="8:8" ht="15.0">
      <c r="A21" s="10" t="s">
        <v>31</v>
      </c>
      <c r="B21" s="12">
        <f>'17 QABALE'!B21</f>
        <v>14884.0</v>
      </c>
      <c r="C21" s="3"/>
      <c r="D21" s="10" t="s">
        <v>32</v>
      </c>
      <c r="E21" s="12">
        <f>SUM(DADWEYNE!B5:B11)</f>
        <v>384.0</v>
      </c>
      <c r="F21" s="3"/>
      <c r="G21" s="3"/>
      <c r="H21" s="3"/>
      <c r="I21" s="10" t="s">
        <v>33</v>
      </c>
      <c r="J21" s="10">
        <f>SUM(CABASHOOYIN!C3:C22)</f>
        <v>0.0</v>
      </c>
      <c r="K21" s="3"/>
    </row>
    <row r="22" spans="8:8" ht="15.0">
      <c r="A22" s="10" t="s">
        <v>34</v>
      </c>
      <c r="B22" s="12">
        <f>'17 QABALE'!C21</f>
        <v>3174.0</v>
      </c>
      <c r="C22" s="3"/>
      <c r="D22" s="10" t="s">
        <v>35</v>
      </c>
      <c r="E22" s="12">
        <f>SUM(DADWEYNE!C5:C11)</f>
        <v>160.0</v>
      </c>
      <c r="F22" s="3"/>
      <c r="G22" s="3"/>
      <c r="H22" s="3"/>
      <c r="I22" s="10" t="s">
        <v>36</v>
      </c>
      <c r="J22" s="10">
        <f>SUM(CABASHOOYIN!D3:D22)</f>
        <v>0.0</v>
      </c>
      <c r="K22" s="3"/>
    </row>
    <row r="23" spans="8:8" ht="15.0">
      <c r="A23" s="10" t="s">
        <v>37</v>
      </c>
      <c r="B23" s="12">
        <f>'17 QABALE'!D21</f>
        <v>18058.0</v>
      </c>
      <c r="C23" s="3"/>
      <c r="D23" s="10" t="s">
        <v>37</v>
      </c>
      <c r="E23" s="12">
        <f>SUM(DADWEYNE!D5:D11)</f>
        <v>545.0</v>
      </c>
      <c r="F23" s="3"/>
      <c r="G23" s="3"/>
      <c r="H23" s="3"/>
      <c r="I23" s="10" t="s">
        <v>38</v>
      </c>
      <c r="J23" s="10">
        <f>SUM(CABASHOOYIN!E3:E22)</f>
        <v>0.0</v>
      </c>
      <c r="K23" s="3"/>
    </row>
    <row r="24" spans="8:8" ht="15.0">
      <c r="A24" s="10" t="s">
        <v>39</v>
      </c>
      <c r="B24" s="12">
        <f>'17 QABALE'!E21</f>
        <v>11737.7</v>
      </c>
      <c r="C24" s="3"/>
      <c r="D24" s="10" t="s">
        <v>40</v>
      </c>
      <c r="E24" s="12">
        <f>SUM(DADWEYNE!G5:G11)</f>
        <v>0.0</v>
      </c>
      <c r="F24" s="3"/>
      <c r="G24" s="3"/>
      <c r="H24" s="3"/>
      <c r="I24" s="3"/>
      <c r="J24" s="3"/>
      <c r="K24" s="3"/>
    </row>
    <row r="25" spans="8:8" ht="15.0">
      <c r="A25" s="10" t="s">
        <v>41</v>
      </c>
      <c r="B25" s="12">
        <f>'17 QABALE'!F21</f>
        <v>6320.299999999998</v>
      </c>
      <c r="C25" s="3"/>
      <c r="D25" s="3"/>
      <c r="E25" s="3"/>
      <c r="F25" s="3"/>
      <c r="G25" s="3"/>
      <c r="H25" s="3"/>
      <c r="I25" s="3"/>
      <c r="J25" s="3"/>
      <c r="K25" s="3"/>
    </row>
    <row r="26" spans="8:8" ht="15.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8:8" ht="15.0" customHeight="1">
      <c r="A27" s="14" t="s">
        <v>42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8:8" ht="15.0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8:8" ht="15.0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8:8" ht="15.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8:8" ht="15.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8:8" ht="15.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8:8" ht="15.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8:8" ht="15.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8:8" ht="15.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8:8" ht="15.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8:8" ht="15.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8:8" ht="15.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8:8" ht="15.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8:8" ht="15.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8:8" ht="15.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8:8" ht="15.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8:8" ht="15.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8:8" ht="15.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8:8" ht="15.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</sheetData>
  <mergeCells count="19">
    <mergeCell ref="A1:K2"/>
    <mergeCell ref="A12:K12"/>
    <mergeCell ref="E13:H13"/>
    <mergeCell ref="A9:F10"/>
    <mergeCell ref="D20:H20"/>
    <mergeCell ref="I20:K20"/>
    <mergeCell ref="A27:K29"/>
    <mergeCell ref="I13:K13"/>
    <mergeCell ref="A5:B5"/>
    <mergeCell ref="G4:H4"/>
    <mergeCell ref="A20:B20"/>
    <mergeCell ref="A4:B4"/>
    <mergeCell ref="G9:K10"/>
    <mergeCell ref="D5:E5"/>
    <mergeCell ref="J4:K4"/>
    <mergeCell ref="A8:K8"/>
    <mergeCell ref="G5:H5"/>
    <mergeCell ref="J5:K5"/>
    <mergeCell ref="D4:E4"/>
  </mergeCells>
  <conditionalFormatting sqref="D3:D22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E3:E32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G3:G21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B14:B16">
    <cfRule type="colorScale" priority="5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25" right="0.25" top="0.4" bottom="0.4" header="0.511811023622047" footer="0.511811023622047"/>
  <pageSetup paperSize="8" fitToHeight="0" orientation="landscape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topLeftCell="B1" showGridLines="0">
      <selection activeCell="A1" sqref="A1:D1"/>
    </sheetView>
  </sheetViews>
  <sheetFormatPr defaultRowHeight="15.0" customHeight="1" defaultColWidth="10" zeroHeight="1"/>
  <cols>
    <col min="1" max="1" customWidth="1" width="37.0" style="0"/>
    <col min="2" max="4" customWidth="1" width="13.0" style="0"/>
  </cols>
  <sheetData>
    <row r="1" spans="8:8" ht="19.7" customHeight="1">
      <c r="A1" s="15" t="s">
        <v>43</v>
      </c>
      <c r="B1" s="15"/>
      <c r="C1" s="15"/>
      <c r="D1" s="15"/>
    </row>
    <row r="2" spans="8:8" ht="15.0">
      <c r="A2" s="16" t="s">
        <v>7</v>
      </c>
      <c r="B2" s="16" t="s">
        <v>44</v>
      </c>
      <c r="C2" s="16" t="s">
        <v>2</v>
      </c>
      <c r="D2" s="16" t="s">
        <v>3</v>
      </c>
    </row>
    <row r="3" spans="8:8" ht="15.0">
      <c r="A3" s="17" t="s">
        <v>45</v>
      </c>
      <c r="B3" s="17">
        <v>15478.0</v>
      </c>
      <c r="C3" s="17">
        <v>6241.0</v>
      </c>
      <c r="D3" s="17">
        <v>9237.0</v>
      </c>
    </row>
    <row r="4" spans="8:8" ht="15.0">
      <c r="A4" s="17" t="s">
        <v>34</v>
      </c>
      <c r="B4" s="17">
        <v>144.0</v>
      </c>
      <c r="C4" s="17">
        <v>76.0</v>
      </c>
      <c r="D4" s="17">
        <v>68.0</v>
      </c>
    </row>
    <row r="5" spans="8:8" ht="15.0">
      <c r="A5" s="17" t="s">
        <v>46</v>
      </c>
      <c r="B5" s="17">
        <v>836.0</v>
      </c>
      <c r="C5" s="17">
        <v>436.0</v>
      </c>
      <c r="D5" s="17">
        <v>400.0</v>
      </c>
    </row>
    <row r="6" spans="8:8" ht="15.0">
      <c r="A6" s="18" t="s">
        <v>47</v>
      </c>
      <c r="B6" s="18">
        <f>SUM(B3:B5)</f>
        <v>16458.0</v>
      </c>
      <c r="C6" s="18">
        <f>SUM(C3:C5)</f>
        <v>6753.0</v>
      </c>
      <c r="D6" s="18">
        <f>SUM(D3:D5)</f>
        <v>9705.0</v>
      </c>
    </row>
  </sheetData>
  <mergeCells count="1">
    <mergeCell ref="A1:D1"/>
  </mergeCells>
  <conditionalFormatting sqref="G3:G21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D3:D22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E3:E32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25" right="0.25" top="0.4" bottom="0.4" header="0.511811023622047" footer="0.511811023622047"/>
  <pageSetup paperSize="8" fitToHeight="0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1"/>
  <sheetViews>
    <sheetView workbookViewId="0" topLeftCell="D1" showGridLines="0" zoomScale="56">
      <selection activeCell="I18" sqref="I18"/>
    </sheetView>
  </sheetViews>
  <sheetFormatPr defaultRowHeight="15.0" customHeight="1" defaultColWidth="10" zeroHeight="1"/>
  <cols>
    <col min="1" max="1" customWidth="1" width="42.0" style="0"/>
    <col min="2" max="2" customWidth="1" width="14.0" style="0"/>
    <col min="3" max="4" customWidth="1" width="15.0" style="0"/>
    <col min="5" max="6" customWidth="1" width="14.0" style="0"/>
    <col min="7" max="7" customWidth="1" width="21.0" style="0"/>
  </cols>
  <sheetData>
    <row r="1" spans="8:8" ht="25.5" customHeight="1">
      <c r="A1" s="15" t="s">
        <v>48</v>
      </c>
      <c r="B1" s="15"/>
      <c r="C1" s="15"/>
      <c r="D1" s="15"/>
      <c r="E1" s="15"/>
      <c r="F1" s="15"/>
      <c r="G1" s="15"/>
    </row>
    <row r="2" spans="8:8" ht="15.0" customHeight="1">
      <c r="A2" s="16" t="s">
        <v>49</v>
      </c>
      <c r="B2" s="16" t="s">
        <v>50</v>
      </c>
      <c r="C2" s="16" t="s">
        <v>51</v>
      </c>
      <c r="D2" s="16" t="s">
        <v>44</v>
      </c>
      <c r="E2" s="16" t="s">
        <v>52</v>
      </c>
      <c r="F2" s="16" t="s">
        <v>53</v>
      </c>
      <c r="G2" s="16" t="s">
        <v>54</v>
      </c>
    </row>
    <row r="3" spans="8:8" ht="15.0">
      <c r="A3" s="17" t="s">
        <v>55</v>
      </c>
      <c r="B3" s="17">
        <v>936.0</v>
      </c>
      <c r="C3" s="17">
        <v>186.0</v>
      </c>
      <c r="D3" s="17">
        <f>SUM(B3:C3)</f>
        <v>1122.0</v>
      </c>
      <c r="E3" s="19">
        <f>D3*65%</f>
        <v>729.3000000000001</v>
      </c>
      <c r="F3" s="19">
        <f>D3*35%</f>
        <v>392.7</v>
      </c>
      <c r="G3" s="20"/>
    </row>
    <row r="4" spans="8:8" ht="15.0">
      <c r="A4" s="17" t="s">
        <v>56</v>
      </c>
      <c r="B4" s="17">
        <v>944.0</v>
      </c>
      <c r="C4" s="17">
        <v>186.0</v>
      </c>
      <c r="D4" s="17">
        <f>SUM(B4:C4)</f>
        <v>1130.0</v>
      </c>
      <c r="E4" s="19">
        <f>D4*65%</f>
        <v>734.5</v>
      </c>
      <c r="F4" s="19">
        <f>D4*35%</f>
        <v>395.5</v>
      </c>
      <c r="G4" s="20"/>
    </row>
    <row r="5" spans="8:8" ht="15.0">
      <c r="A5" s="17" t="s">
        <v>57</v>
      </c>
      <c r="B5" s="17">
        <v>968.0</v>
      </c>
      <c r="C5" s="17">
        <v>286.0</v>
      </c>
      <c r="D5" s="17">
        <f>SUM(B5:C5)</f>
        <v>1254.0</v>
      </c>
      <c r="E5" s="19">
        <f>D5*65%</f>
        <v>815.1</v>
      </c>
      <c r="F5" s="19">
        <f>D5*35%</f>
        <v>438.9</v>
      </c>
      <c r="G5" s="20"/>
    </row>
    <row r="6" spans="8:8" ht="15.0">
      <c r="A6" s="17" t="s">
        <v>58</v>
      </c>
      <c r="B6" s="17">
        <v>973.0</v>
      </c>
      <c r="C6" s="17">
        <v>240.0</v>
      </c>
      <c r="D6" s="17">
        <f>SUM(B6:C6)</f>
        <v>1213.0</v>
      </c>
      <c r="E6" s="19">
        <f>D6*65%</f>
        <v>788.45</v>
      </c>
      <c r="F6" s="19">
        <f>D6*35%</f>
        <v>424.54999999999995</v>
      </c>
      <c r="G6" s="20"/>
    </row>
    <row r="7" spans="8:8" ht="15.0">
      <c r="A7" s="17" t="s">
        <v>59</v>
      </c>
      <c r="B7" s="17">
        <v>968.0</v>
      </c>
      <c r="C7" s="17">
        <v>240.0</v>
      </c>
      <c r="D7" s="17">
        <f>SUM(B7:C7)</f>
        <v>1208.0</v>
      </c>
      <c r="E7" s="19">
        <f>D7*65%</f>
        <v>785.2</v>
      </c>
      <c r="F7" s="19">
        <f>D7*35%</f>
        <v>422.79999999999995</v>
      </c>
      <c r="G7" s="20"/>
    </row>
    <row r="8" spans="8:8" ht="15.0">
      <c r="A8" s="17" t="s">
        <v>60</v>
      </c>
      <c r="B8" s="17">
        <v>973.0</v>
      </c>
      <c r="C8" s="17">
        <v>190.0</v>
      </c>
      <c r="D8" s="17">
        <f>SUM(B8:C8)</f>
        <v>1163.0</v>
      </c>
      <c r="E8" s="19">
        <f>D8*65%</f>
        <v>755.95</v>
      </c>
      <c r="F8" s="19">
        <f>D8*35%</f>
        <v>407.04999999999995</v>
      </c>
      <c r="G8" s="20"/>
    </row>
    <row r="9" spans="8:8" ht="15.0">
      <c r="A9" s="17" t="s">
        <v>61</v>
      </c>
      <c r="B9" s="17">
        <v>964.0</v>
      </c>
      <c r="C9" s="17">
        <v>186.0</v>
      </c>
      <c r="D9" s="17">
        <f>SUM(B9:C9)</f>
        <v>1150.0</v>
      </c>
      <c r="E9" s="19">
        <f>D9*65%</f>
        <v>747.5</v>
      </c>
      <c r="F9" s="19">
        <f>D9*35%</f>
        <v>402.5</v>
      </c>
      <c r="G9" s="20"/>
    </row>
    <row r="10" spans="8:8" ht="15.0">
      <c r="A10" s="17" t="s">
        <v>62</v>
      </c>
      <c r="B10" s="17">
        <v>885.0</v>
      </c>
      <c r="C10" s="17">
        <v>166.0</v>
      </c>
      <c r="D10" s="17">
        <f>SUM(B10:C10)</f>
        <v>1051.0</v>
      </c>
      <c r="E10" s="19">
        <f>D10*65%</f>
        <v>683.15</v>
      </c>
      <c r="F10" s="19">
        <f>D10*35%</f>
        <v>367.84999999999997</v>
      </c>
      <c r="G10" s="20"/>
    </row>
    <row r="11" spans="8:8" ht="15.0">
      <c r="A11" s="17" t="s">
        <v>63</v>
      </c>
      <c r="B11" s="17">
        <v>835.0</v>
      </c>
      <c r="C11" s="17">
        <v>166.0</v>
      </c>
      <c r="D11" s="17">
        <f>SUM(B11:C11)</f>
        <v>1001.0</v>
      </c>
      <c r="E11" s="19">
        <f>D11*65%</f>
        <v>650.65</v>
      </c>
      <c r="F11" s="19">
        <f>D11*35%</f>
        <v>350.34999999999997</v>
      </c>
      <c r="G11" s="20"/>
    </row>
    <row r="12" spans="8:8" ht="15.0">
      <c r="A12" s="17" t="s">
        <v>64</v>
      </c>
      <c r="B12" s="17">
        <v>845.0</v>
      </c>
      <c r="C12" s="17">
        <v>166.0</v>
      </c>
      <c r="D12" s="17">
        <f>SUM(B12:C12)</f>
        <v>1011.0</v>
      </c>
      <c r="E12" s="19">
        <f>D12*65%</f>
        <v>657.15</v>
      </c>
      <c r="F12" s="19">
        <f>D12*35%</f>
        <v>353.84999999999997</v>
      </c>
      <c r="G12" s="20"/>
    </row>
    <row r="13" spans="8:8" ht="15.0">
      <c r="A13" s="17" t="s">
        <v>65</v>
      </c>
      <c r="B13" s="17">
        <v>845.0</v>
      </c>
      <c r="C13" s="17">
        <v>166.0</v>
      </c>
      <c r="D13" s="17">
        <f>SUM(B13:C13)</f>
        <v>1011.0</v>
      </c>
      <c r="E13" s="19">
        <f>D13*65%</f>
        <v>657.15</v>
      </c>
      <c r="F13" s="19">
        <f>D13*35%</f>
        <v>353.84999999999997</v>
      </c>
      <c r="G13" s="20"/>
    </row>
    <row r="14" spans="8:8" ht="15.0">
      <c r="A14" s="17" t="s">
        <v>66</v>
      </c>
      <c r="B14" s="17">
        <v>838.0</v>
      </c>
      <c r="C14" s="17">
        <v>166.0</v>
      </c>
      <c r="D14" s="17">
        <f>SUM(B14:C14)</f>
        <v>1004.0</v>
      </c>
      <c r="E14" s="19">
        <f>D14*65%</f>
        <v>652.6</v>
      </c>
      <c r="F14" s="19">
        <f>D14*35%</f>
        <v>351.4</v>
      </c>
      <c r="G14" s="20"/>
    </row>
    <row r="15" spans="8:8" ht="15.0">
      <c r="A15" s="17" t="s">
        <v>67</v>
      </c>
      <c r="B15" s="17">
        <v>784.0</v>
      </c>
      <c r="C15" s="17">
        <v>166.0</v>
      </c>
      <c r="D15" s="17">
        <f>SUM(B15:C15)</f>
        <v>950.0</v>
      </c>
      <c r="E15" s="19">
        <f>D15*65%</f>
        <v>617.5</v>
      </c>
      <c r="F15" s="19">
        <f>D15*35%</f>
        <v>332.5</v>
      </c>
      <c r="G15" s="20"/>
    </row>
    <row r="16" spans="8:8" ht="15.0">
      <c r="A16" s="17" t="s">
        <v>68</v>
      </c>
      <c r="B16" s="17">
        <v>788.0</v>
      </c>
      <c r="C16" s="17">
        <v>166.0</v>
      </c>
      <c r="D16" s="17">
        <f>SUM(B16:C16)</f>
        <v>954.0</v>
      </c>
      <c r="E16" s="19">
        <f>D16*65%</f>
        <v>620.1</v>
      </c>
      <c r="F16" s="19">
        <f>D16*35%</f>
        <v>333.9</v>
      </c>
      <c r="G16" s="20"/>
    </row>
    <row r="17" spans="8:8" ht="15.0">
      <c r="A17" s="17" t="s">
        <v>69</v>
      </c>
      <c r="B17" s="17">
        <v>768.0</v>
      </c>
      <c r="C17" s="17">
        <v>166.0</v>
      </c>
      <c r="D17" s="17">
        <f>SUM(B17:C17)</f>
        <v>934.0</v>
      </c>
      <c r="E17" s="19">
        <f>D17*65%</f>
        <v>607.1</v>
      </c>
      <c r="F17" s="19">
        <f>D17*35%</f>
        <v>326.9</v>
      </c>
      <c r="G17" s="20"/>
    </row>
    <row r="18" spans="8:8" ht="15.0">
      <c r="A18" s="17" t="s">
        <v>70</v>
      </c>
      <c r="B18" s="17">
        <v>783.0</v>
      </c>
      <c r="C18" s="17">
        <v>166.0</v>
      </c>
      <c r="D18" s="17">
        <f>SUM(B18:C18)</f>
        <v>949.0</v>
      </c>
      <c r="E18" s="19">
        <f>D18*65%</f>
        <v>616.85</v>
      </c>
      <c r="F18" s="19">
        <f>D18*35%</f>
        <v>332.15</v>
      </c>
      <c r="G18" s="20"/>
    </row>
    <row r="19" spans="8:8" ht="15.0">
      <c r="A19" s="17" t="s">
        <v>71</v>
      </c>
      <c r="B19" s="17">
        <v>787.0</v>
      </c>
      <c r="C19" s="17">
        <v>166.0</v>
      </c>
      <c r="D19" s="17">
        <f>SUM(B19:C19)</f>
        <v>953.0</v>
      </c>
      <c r="E19" s="19">
        <f>D19*65%</f>
        <v>619.45</v>
      </c>
      <c r="F19" s="19">
        <f>D19*35%</f>
        <v>333.54999999999995</v>
      </c>
      <c r="G19" s="20"/>
    </row>
    <row r="21" spans="8:8" ht="15.0">
      <c r="A21" s="18" t="s">
        <v>44</v>
      </c>
      <c r="B21" s="18">
        <f>SUM(B3:B19)</f>
        <v>14884.0</v>
      </c>
      <c r="C21" s="18">
        <f>SUM(C3:C19)</f>
        <v>3174.0</v>
      </c>
      <c r="D21" s="18">
        <f>SUM(D3:D19)</f>
        <v>18058.0</v>
      </c>
      <c r="E21" s="18">
        <f>SUM(E3:E19)</f>
        <v>11737.7</v>
      </c>
      <c r="F21" s="18">
        <f>SUM(F3:F19)</f>
        <v>6320.299999999998</v>
      </c>
      <c r="G21" s="21">
        <f>_xlfn.IFERROR(F21/E21,0)</f>
        <v>0.5384615384615383</v>
      </c>
    </row>
  </sheetData>
  <mergeCells count="1">
    <mergeCell ref="A1:G1"/>
  </mergeCells>
  <conditionalFormatting sqref="G3:G21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D3:D22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E3:E32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25" right="0.25" top="0.4" bottom="0.4" header="0.511811023622047" footer="0.511811023622047"/>
  <pageSetup paperSize="8" fitToHeight="0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2"/>
  <sheetViews>
    <sheetView workbookViewId="0" showGridLines="0" zoomScale="41">
      <selection activeCell="B23" sqref="B23"/>
    </sheetView>
  </sheetViews>
  <sheetFormatPr defaultRowHeight="15.0" customHeight="1" defaultColWidth="10" zeroHeight="1"/>
  <cols>
    <col min="1" max="1" customWidth="1" width="42.0" style="0"/>
    <col min="2" max="4" customWidth="1" width="12.0" style="0"/>
    <col min="5" max="5" customWidth="1" width="27.0" style="0"/>
    <col min="6" max="6" customWidth="1" width="42.0" style="0"/>
  </cols>
  <sheetData>
    <row r="1" spans="8:8" ht="19.7" customHeight="1">
      <c r="A1" s="15" t="s">
        <v>72</v>
      </c>
      <c r="B1" s="15"/>
      <c r="C1" s="15"/>
      <c r="D1" s="15"/>
      <c r="E1" s="15"/>
      <c r="F1" s="15"/>
    </row>
    <row r="2" spans="8:8" ht="15.0">
      <c r="A2" s="16" t="s">
        <v>73</v>
      </c>
      <c r="B2" s="16" t="s">
        <v>7</v>
      </c>
      <c r="C2" s="16" t="s">
        <v>74</v>
      </c>
      <c r="D2" s="16" t="s">
        <v>75</v>
      </c>
      <c r="E2" s="16" t="s">
        <v>76</v>
      </c>
      <c r="F2" s="16" t="s">
        <v>77</v>
      </c>
    </row>
    <row r="3" spans="8:8" ht="46.5" customHeight="1">
      <c r="A3" s="22" t="s">
        <v>78</v>
      </c>
      <c r="B3" s="22" t="s">
        <v>79</v>
      </c>
      <c r="C3" s="22" t="s">
        <v>80</v>
      </c>
      <c r="D3" s="22" t="s">
        <v>81</v>
      </c>
      <c r="E3" s="23">
        <v>0.94</v>
      </c>
      <c r="F3" s="24" t="str">
        <f>IF(E3="","",IF(E3&gt;=0.8,"SARE",IF(E3&gt;=0.6,"DHEXDHEXAAD","HOOSE")))</f>
        <v>SARE</v>
      </c>
    </row>
    <row r="4" spans="8:8" ht="69.75" customHeight="1">
      <c r="A4" s="25" t="s">
        <v>82</v>
      </c>
      <c r="B4" s="25" t="s">
        <v>79</v>
      </c>
      <c r="C4" s="25" t="s">
        <v>83</v>
      </c>
      <c r="D4" s="25" t="s">
        <v>83</v>
      </c>
      <c r="E4" s="26">
        <v>1.0</v>
      </c>
      <c r="F4" s="27" t="str">
        <f>IF(E4="","",IF(E4&gt;=0.8,"SARE",IF(E4&gt;=0.6,"DHEXDHEXAAD","HOOSE")))</f>
        <v>SARE</v>
      </c>
    </row>
    <row r="5" spans="8:8" ht="93.0" customHeight="1">
      <c r="A5" s="28" t="s">
        <v>84</v>
      </c>
      <c r="B5" s="28" t="s">
        <v>79</v>
      </c>
      <c r="C5" s="28" t="s">
        <v>85</v>
      </c>
      <c r="D5" s="28" t="s">
        <v>86</v>
      </c>
      <c r="E5" s="29">
        <v>0.89</v>
      </c>
      <c r="F5" s="30" t="str">
        <f>IF(E5="","",IF(E5&gt;=0.8,"SARE",IF(E5&gt;=0.6,"DHEXDHEXAAD","HOOSE")))</f>
        <v>SARE</v>
      </c>
    </row>
    <row r="6" spans="8:8" ht="69.75" customHeight="1">
      <c r="A6" s="25" t="s">
        <v>87</v>
      </c>
      <c r="B6" s="25" t="s">
        <v>88</v>
      </c>
      <c r="C6" s="25" t="s">
        <v>88</v>
      </c>
      <c r="D6" s="25" t="s">
        <v>88</v>
      </c>
      <c r="E6" s="26">
        <v>1.0</v>
      </c>
      <c r="F6" s="27" t="str">
        <f>IF(E6="","",IF(E6&gt;=0.8,"SARE",IF(E6&gt;=0.6,"DHEXDHEXAAD","HOOSE")))</f>
        <v>SARE</v>
      </c>
    </row>
    <row r="7" spans="8:8" ht="93.0" customHeight="1">
      <c r="A7" s="28" t="s">
        <v>89</v>
      </c>
      <c r="B7" s="28" t="s">
        <v>88</v>
      </c>
      <c r="C7" s="28" t="s">
        <v>88</v>
      </c>
      <c r="D7" s="28" t="s">
        <v>88</v>
      </c>
      <c r="E7" s="29">
        <v>1.0</v>
      </c>
      <c r="F7" s="30" t="str">
        <f>IF(E7="","",IF(E7&gt;=0.8,"SARE",IF(E7&gt;=0.6,"DHEXDHEXAAD","HOOSE")))</f>
        <v>SARE</v>
      </c>
    </row>
    <row r="8" spans="8:8" ht="46.5" customHeight="1">
      <c r="A8" s="25" t="s">
        <v>90</v>
      </c>
      <c r="B8" s="25" t="s">
        <v>79</v>
      </c>
      <c r="C8" s="25" t="s">
        <v>91</v>
      </c>
      <c r="D8" s="25" t="s">
        <v>92</v>
      </c>
      <c r="E8" s="26">
        <v>1.0</v>
      </c>
      <c r="F8" s="27" t="str">
        <f>IF(E8="","",IF(E8&gt;=0.8,"SARE",IF(E8&gt;=0.6,"DHEXDHEXAAD","HOOSE")))</f>
        <v>SARE</v>
      </c>
    </row>
    <row r="9" spans="8:8" ht="46.5" customHeight="1">
      <c r="A9" s="28" t="s">
        <v>93</v>
      </c>
      <c r="B9" s="28" t="s">
        <v>79</v>
      </c>
      <c r="C9" s="28" t="s">
        <v>94</v>
      </c>
      <c r="D9" s="28" t="s">
        <v>95</v>
      </c>
      <c r="E9" s="29">
        <v>1.0</v>
      </c>
      <c r="F9" s="30" t="str">
        <f>IF(E9="","",IF(E9&gt;=0.8,"SARE",IF(E9&gt;=0.6,"DHEXDHEXAAD","HOOSE")))</f>
        <v>SARE</v>
      </c>
    </row>
    <row r="10" spans="8:8" ht="39.75" customHeight="1">
      <c r="A10" s="31" t="s">
        <v>96</v>
      </c>
      <c r="B10" s="31">
        <v>48.0</v>
      </c>
      <c r="C10" s="31">
        <v>46.0</v>
      </c>
      <c r="D10" s="31" t="s">
        <v>97</v>
      </c>
      <c r="E10" s="32"/>
      <c r="F10" s="33" t="str">
        <f>IF(E10="","",IF(E10&gt;=0.8,"SARE",IF(E10&gt;=0.6,"DHEXDHEXAAD","HOOSE")))</f>
        <v/>
      </c>
    </row>
    <row r="11" spans="8:8" ht="39.75" customHeight="1">
      <c r="A11" s="34" t="s">
        <v>98</v>
      </c>
      <c r="B11" s="34">
        <v>24.0</v>
      </c>
      <c r="C11" s="34">
        <v>24.0</v>
      </c>
      <c r="D11" s="34" t="s">
        <v>99</v>
      </c>
      <c r="E11" s="35"/>
      <c r="F11" s="33" t="str">
        <f>IF(E11="","",IF(E11&gt;=0.8,"SARE",IF(E11&gt;=0.6,"DHEXDHEXAAD","HOOSE")))</f>
        <v/>
      </c>
    </row>
    <row r="12" spans="8:8" ht="39.75" customHeight="1">
      <c r="A12" s="34" t="s">
        <v>100</v>
      </c>
      <c r="B12" s="34">
        <v>48.0</v>
      </c>
      <c r="C12" s="34">
        <v>48.0</v>
      </c>
      <c r="D12" s="34" t="s">
        <v>99</v>
      </c>
      <c r="E12" s="35"/>
      <c r="F12" s="33" t="str">
        <f>IF(E12="","",IF(E12&gt;=0.8,"SARE",IF(E12&gt;=0.6,"DHEXDHEXAAD","HOOSE")))</f>
        <v/>
      </c>
    </row>
    <row r="13" spans="8:8" ht="39.75" customHeight="1">
      <c r="A13" s="34" t="s">
        <v>101</v>
      </c>
      <c r="B13" s="36">
        <v>4.0</v>
      </c>
      <c r="C13" s="36">
        <v>4.0</v>
      </c>
      <c r="D13" s="36" t="s">
        <v>99</v>
      </c>
      <c r="E13" s="35"/>
      <c r="F13" s="33" t="str">
        <f>IF(E13="","",IF(E13&gt;=0.8,"SARE",IF(E13&gt;=0.6,"DHEXDHEXAAD","HOOSE")))</f>
        <v/>
      </c>
    </row>
    <row r="14" spans="8:8" ht="33.75" customHeight="1">
      <c r="A14" s="34" t="s">
        <v>102</v>
      </c>
      <c r="B14" s="34">
        <v>24.0</v>
      </c>
      <c r="C14" s="34">
        <v>23.0</v>
      </c>
      <c r="D14" s="34" t="s">
        <v>97</v>
      </c>
      <c r="E14" s="35"/>
      <c r="F14" s="33" t="str">
        <f>IF(E14="","",IF(E14&gt;=0.8,"SARE",IF(E14&gt;=0.6,"DHEXDHEXAAD","HOOSE")))</f>
        <v/>
      </c>
    </row>
    <row r="15" spans="8:8" ht="39.75" customHeight="1">
      <c r="A15" s="34" t="s">
        <v>103</v>
      </c>
      <c r="B15" s="34">
        <v>1.0</v>
      </c>
      <c r="C15" s="34">
        <v>1.0</v>
      </c>
      <c r="D15" s="34" t="s">
        <v>99</v>
      </c>
      <c r="E15" s="35"/>
      <c r="F15" s="33" t="str">
        <f>IF(E15="","",IF(E15&gt;=0.8,"SARE",IF(E15&gt;=0.6,"DHEXDHEXAAD","HOOSE")))</f>
        <v/>
      </c>
    </row>
    <row r="16" spans="8:8" ht="15.0">
      <c r="A16" s="33"/>
      <c r="B16" s="33"/>
      <c r="C16" s="33"/>
      <c r="D16" s="33"/>
      <c r="E16" s="37">
        <f>_xlfn.IFERROR(D16/C16,0)</f>
        <v>0.0</v>
      </c>
      <c r="F16" s="33" t="str">
        <f>IF(E16="","",IF(E16&gt;=0.8,"SARE",IF(E16&gt;=0.6,"DHEXDHEXAAD","HOOSE")))</f>
        <v>HOOSE</v>
      </c>
    </row>
    <row r="17" spans="8:8" ht="15.0">
      <c r="A17" s="33"/>
      <c r="B17" s="33"/>
      <c r="C17" s="33"/>
      <c r="D17" s="33"/>
      <c r="E17" s="37">
        <f>_xlfn.IFERROR(D17/C17,0)</f>
        <v>0.0</v>
      </c>
      <c r="F17" s="33" t="str">
        <f>IF(E17="","",IF(E17&gt;=0.8,"SARE",IF(E17&gt;=0.6,"DHEXDHEXAAD","HOOSE")))</f>
        <v>HOOSE</v>
      </c>
    </row>
    <row r="18" spans="8:8" ht="15.0">
      <c r="A18" s="33"/>
      <c r="B18" s="33"/>
      <c r="C18" s="33"/>
      <c r="D18" s="33"/>
      <c r="E18" s="37">
        <f>_xlfn.IFERROR(D18/C18,0)</f>
        <v>0.0</v>
      </c>
      <c r="F18" s="33" t="str">
        <f>IF(E18="","",IF(E18&gt;=0.8,"SARE",IF(E18&gt;=0.6,"DHEXDHEXAAD","HOOSE")))</f>
        <v>HOOSE</v>
      </c>
    </row>
    <row r="19" spans="8:8" ht="15.0">
      <c r="A19" s="33"/>
      <c r="B19" s="33"/>
      <c r="C19" s="33"/>
      <c r="D19" s="33"/>
      <c r="E19" s="37">
        <f>_xlfn.IFERROR(D19/C19,0)</f>
        <v>0.0</v>
      </c>
      <c r="F19" s="33" t="str">
        <f>IF(E19="","",IF(E19&gt;=0.8,"SARE",IF(E19&gt;=0.6,"DHEXDHEXAAD","HOOSE")))</f>
        <v>HOOSE</v>
      </c>
    </row>
    <row r="20" spans="8:8" ht="15.0">
      <c r="A20" s="33"/>
      <c r="B20" s="33"/>
      <c r="C20" s="33"/>
      <c r="D20" s="33"/>
      <c r="E20" s="37">
        <f>_xlfn.IFERROR(D20/C20,0)</f>
        <v>0.0</v>
      </c>
      <c r="F20" s="33" t="str">
        <f>IF(E20="","",IF(E20&gt;=0.8,"SARE",IF(E20&gt;=0.6,"DHEXDHEXAAD","HOOSE")))</f>
        <v>HOOSE</v>
      </c>
    </row>
    <row r="21" spans="8:8" ht="15.0">
      <c r="A21" s="33"/>
      <c r="B21" s="33"/>
      <c r="C21" s="33"/>
      <c r="D21" s="33"/>
      <c r="E21" s="37">
        <f>_xlfn.IFERROR(D21/C21,0)</f>
        <v>0.0</v>
      </c>
      <c r="F21" s="33" t="str">
        <f>IF(E21="","",IF(E21&gt;=0.8,"SARE",IF(E21&gt;=0.6,"DHEXDHEXAAD","HOOSE")))</f>
        <v>HOOSE</v>
      </c>
    </row>
    <row r="22" spans="8:8" ht="15.0">
      <c r="A22" s="33"/>
      <c r="B22" s="33"/>
      <c r="C22" s="33"/>
      <c r="D22" s="33"/>
      <c r="E22" s="37">
        <f>_xlfn.IFERROR(D22/C22,0)</f>
        <v>0.0</v>
      </c>
      <c r="F22" s="33" t="str">
        <f>IF(E22="","",IF(E22&gt;=0.8,"SARE",IF(E22&gt;=0.6,"DHEXDHEXAAD","HOOSE")))</f>
        <v>HOOSE</v>
      </c>
    </row>
    <row r="23" spans="8:8" ht="15.0">
      <c r="A23" s="33"/>
      <c r="B23" s="33"/>
      <c r="C23" s="33"/>
      <c r="D23" s="33"/>
      <c r="E23" s="37">
        <f>_xlfn.IFERROR(D23/C23,0)</f>
        <v>0.0</v>
      </c>
      <c r="F23" s="33" t="str">
        <f>IF(E23="","",IF(E23&gt;=0.8,"SARE",IF(E23&gt;=0.6,"DHEXDHEXAAD","HOOSE")))</f>
        <v>HOOSE</v>
      </c>
    </row>
    <row r="24" spans="8:8" ht="15.0">
      <c r="A24" s="33"/>
      <c r="B24" s="33"/>
      <c r="C24" s="33"/>
      <c r="D24" s="33"/>
      <c r="E24" s="37">
        <f>_xlfn.IFERROR(D24/C24,0)</f>
        <v>0.0</v>
      </c>
      <c r="F24" s="33" t="str">
        <f>IF(E24="","",IF(E24&gt;=0.8,"SARE",IF(E24&gt;=0.6,"DHEXDHEXAAD","HOOSE")))</f>
        <v>HOOSE</v>
      </c>
    </row>
    <row r="25" spans="8:8" ht="15.0">
      <c r="A25" s="33"/>
      <c r="B25" s="33"/>
      <c r="C25" s="33"/>
      <c r="D25" s="33"/>
      <c r="E25" s="37">
        <f>_xlfn.IFERROR(D25/C25,0)</f>
        <v>0.0</v>
      </c>
      <c r="F25" s="33" t="str">
        <f>IF(E25="","",IF(E25&gt;=0.8,"SARE",IF(E25&gt;=0.6,"DHEXDHEXAAD","HOOSE")))</f>
        <v>HOOSE</v>
      </c>
    </row>
    <row r="26" spans="8:8" ht="15.0">
      <c r="A26" s="33"/>
      <c r="B26" s="33"/>
      <c r="C26" s="33"/>
      <c r="D26" s="33"/>
      <c r="E26" s="37">
        <f>_xlfn.IFERROR(D26/C26,0)</f>
        <v>0.0</v>
      </c>
      <c r="F26" s="33" t="str">
        <f>IF(E26="","",IF(E26&gt;=0.8,"SARE",IF(E26&gt;=0.6,"DHEXDHEXAAD","HOOSE")))</f>
        <v>HOOSE</v>
      </c>
    </row>
    <row r="27" spans="8:8" ht="15.0">
      <c r="A27" s="33"/>
      <c r="B27" s="33"/>
      <c r="C27" s="33"/>
      <c r="D27" s="33"/>
      <c r="E27" s="37">
        <f>_xlfn.IFERROR(D27/C27,0)</f>
        <v>0.0</v>
      </c>
      <c r="F27" s="33" t="str">
        <f>IF(E27="","",IF(E27&gt;=0.8,"SARE",IF(E27&gt;=0.6,"DHEXDHEXAAD","HOOSE")))</f>
        <v>HOOSE</v>
      </c>
    </row>
    <row r="28" spans="8:8" ht="15.0">
      <c r="A28" s="33"/>
      <c r="B28" s="33"/>
      <c r="C28" s="33"/>
      <c r="D28" s="33"/>
      <c r="E28" s="37">
        <f>_xlfn.IFERROR(D28/C28,0)</f>
        <v>0.0</v>
      </c>
      <c r="F28" s="33" t="str">
        <f>IF(E28="","",IF(E28&gt;=0.8,"SARE",IF(E28&gt;=0.6,"DHEXDHEXAAD","HOOSE")))</f>
        <v>HOOSE</v>
      </c>
    </row>
    <row r="29" spans="8:8" ht="15.0">
      <c r="A29" s="33"/>
      <c r="B29" s="33"/>
      <c r="C29" s="33"/>
      <c r="D29" s="33"/>
      <c r="E29" s="37">
        <f>_xlfn.IFERROR(D29/C29,0)</f>
        <v>0.0</v>
      </c>
      <c r="F29" s="33" t="str">
        <f>IF(E29="","",IF(E29&gt;=0.8,"SARE",IF(E29&gt;=0.6,"DHEXDHEXAAD","HOOSE")))</f>
        <v>HOOSE</v>
      </c>
    </row>
    <row r="30" spans="8:8" ht="15.0">
      <c r="A30" s="33"/>
      <c r="B30" s="33"/>
      <c r="C30" s="33"/>
      <c r="D30" s="33"/>
      <c r="E30" s="37">
        <f>_xlfn.IFERROR(D30/C30,0)</f>
        <v>0.0</v>
      </c>
      <c r="F30" s="33" t="str">
        <f>IF(E30="","",IF(E30&gt;=0.8,"SARE",IF(E30&gt;=0.6,"DHEXDHEXAAD","HOOSE")))</f>
        <v>HOOSE</v>
      </c>
    </row>
    <row r="31" spans="8:8" ht="15.0">
      <c r="A31" s="33"/>
      <c r="B31" s="33"/>
      <c r="C31" s="33"/>
      <c r="D31" s="33"/>
      <c r="E31" s="37">
        <f>_xlfn.IFERROR(D31/C31,0)</f>
        <v>0.0</v>
      </c>
      <c r="F31" s="33" t="str">
        <f>IF(E31="","",IF(E31&gt;=0.8,"SARE",IF(E31&gt;=0.6,"DHEXDHEXAAD","HOOSE")))</f>
        <v>HOOSE</v>
      </c>
    </row>
    <row r="32" spans="8:8" ht="15.0">
      <c r="A32" s="33"/>
      <c r="B32" s="33"/>
      <c r="C32" s="33"/>
      <c r="D32" s="33"/>
      <c r="E32" s="37">
        <f>_xlfn.IFERROR(D32/C32,0)</f>
        <v>0.0</v>
      </c>
      <c r="F32" s="33" t="str">
        <f>IF(E32="","",IF(E32&gt;=0.8,"SARE",IF(E32&gt;=0.6,"DHEXDHEXAAD","HOOSE")))</f>
        <v>HOOSE</v>
      </c>
    </row>
  </sheetData>
  <mergeCells count="1">
    <mergeCell ref="A1:F1"/>
  </mergeCells>
  <conditionalFormatting sqref="D16:D22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G3:G21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E16:E32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25" right="0.25" top="0.4" bottom="0.4" header="0.511811023622047" footer="0.511811023622047"/>
  <pageSetup paperSize="8" fitToHeight="0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31"/>
  <sheetViews>
    <sheetView workbookViewId="0" topLeftCell="F1" showGridLines="0" zoomScale="68">
      <selection activeCell="F3" sqref="F3"/>
    </sheetView>
  </sheetViews>
  <sheetFormatPr defaultRowHeight="15.0" customHeight="1" defaultColWidth="10" zeroHeight="1"/>
  <cols>
    <col min="1" max="1" customWidth="1" width="24.0" style="0"/>
    <col min="2" max="2" customWidth="1" width="12.0" style="0"/>
    <col min="3" max="3" customWidth="1" width="22.0" style="0"/>
    <col min="4" max="4" customWidth="1" width="35.0" style="0"/>
    <col min="5" max="5" customWidth="1" width="27.0" style="0"/>
    <col min="6" max="6" customWidth="1" width="42.0" style="0"/>
    <col min="7" max="7" customWidth="1" width="42.0" style="1"/>
    <col min="8" max="8" customWidth="1" width="12.0" style="1"/>
    <col min="9" max="9" customWidth="1" width="42.0" style="1"/>
  </cols>
  <sheetData>
    <row r="1" spans="8:8" ht="30.75" customHeight="1">
      <c r="A1" s="15" t="s">
        <v>104</v>
      </c>
      <c r="B1" s="15"/>
      <c r="C1" s="15"/>
      <c r="D1" s="15"/>
      <c r="E1" s="15"/>
      <c r="F1" s="15"/>
      <c r="G1" s="15"/>
      <c r="H1" s="15"/>
      <c r="I1" s="15"/>
    </row>
    <row r="2" spans="8:8" ht="38.25" customHeight="1">
      <c r="A2" s="16" t="s">
        <v>105</v>
      </c>
      <c r="B2" s="16" t="s">
        <v>106</v>
      </c>
      <c r="C2" s="16" t="s">
        <v>107</v>
      </c>
      <c r="D2" s="16" t="s">
        <v>108</v>
      </c>
      <c r="E2" s="16" t="s">
        <v>109</v>
      </c>
      <c r="F2" s="16" t="s">
        <v>110</v>
      </c>
      <c r="G2" s="16" t="s">
        <v>77</v>
      </c>
      <c r="H2" s="16"/>
      <c r="I2" s="16" t="s">
        <v>111</v>
      </c>
    </row>
    <row r="3" spans="8:8" ht="27.0" customHeight="1">
      <c r="A3" s="38" t="s">
        <v>112</v>
      </c>
      <c r="B3" s="38" t="s">
        <v>113</v>
      </c>
      <c r="C3" s="38" t="s">
        <v>114</v>
      </c>
      <c r="D3" s="38" t="s">
        <v>115</v>
      </c>
      <c r="E3" s="38">
        <v>9.2492562E8</v>
      </c>
      <c r="F3" s="37"/>
      <c r="G3" s="1" t="str">
        <f>IF(F3="","LAMA QIIMEYN",IF(F3&gt;=0.8,"SARE",IF(F3&gt;=0.6,"DHEXDHEXAAD","HOOSE")))</f>
        <v>LAMA QIIMEYN</v>
      </c>
      <c r="I3" s="1" t="s">
        <v>116</v>
      </c>
    </row>
    <row r="4" spans="8:8" ht="15.75" customHeight="1">
      <c r="A4" s="39" t="s">
        <v>117</v>
      </c>
      <c r="B4" s="38" t="s">
        <v>118</v>
      </c>
      <c r="C4" s="38" t="s">
        <v>114</v>
      </c>
      <c r="D4" s="38" t="s">
        <v>119</v>
      </c>
      <c r="E4" s="38">
        <v>9.35525152E8</v>
      </c>
      <c r="F4" s="37"/>
      <c r="G4" s="1" t="str">
        <f>IF(F4="","LAMA QIIMEYN",IF(F4&gt;=0.8,"SARE",IF(F4&gt;=0.6,"DHEXDHEXAAD","HOOSE")))</f>
        <v>LAMA QIIMEYN</v>
      </c>
    </row>
    <row r="5" spans="8:8" ht="27.0" customHeight="1">
      <c r="A5" s="39" t="s">
        <v>120</v>
      </c>
      <c r="B5" s="38" t="s">
        <v>113</v>
      </c>
      <c r="C5" s="38" t="s">
        <v>114</v>
      </c>
      <c r="D5" s="38" t="s">
        <v>121</v>
      </c>
      <c r="E5" s="38">
        <v>9.23669458E8</v>
      </c>
      <c r="F5" s="37"/>
      <c r="G5" s="1" t="str">
        <f>IF(F5="","LAMA QIIMEYN",IF(F5&gt;=0.8,"SARE",IF(F5&gt;=0.6,"DHEXDHEXAAD","HOOSE")))</f>
        <v>LAMA QIIMEYN</v>
      </c>
    </row>
    <row r="6" spans="8:8" ht="27.0" customHeight="1">
      <c r="A6" s="39" t="s">
        <v>122</v>
      </c>
      <c r="B6" s="38" t="s">
        <v>113</v>
      </c>
      <c r="C6" s="38" t="s">
        <v>114</v>
      </c>
      <c r="D6" s="38" t="s">
        <v>123</v>
      </c>
      <c r="E6" s="39" t="s">
        <v>124</v>
      </c>
      <c r="F6" s="37"/>
      <c r="G6" s="1" t="str">
        <f>IF(F6="","LAMA QIIMEYN",IF(F6&gt;=0.8,"SARE",IF(F6&gt;=0.6,"DHEXDHEXAAD","HOOSE")))</f>
        <v>LAMA QIIMEYN</v>
      </c>
    </row>
    <row r="7" spans="8:8" ht="27.0" customHeight="1">
      <c r="A7" s="39" t="s">
        <v>125</v>
      </c>
      <c r="B7" s="38" t="s">
        <v>118</v>
      </c>
      <c r="C7" s="38" t="s">
        <v>114</v>
      </c>
      <c r="D7" s="38" t="s">
        <v>126</v>
      </c>
      <c r="E7" s="40">
        <v>9.15158994E8</v>
      </c>
      <c r="F7" s="37"/>
      <c r="G7" s="1" t="str">
        <f>IF(F7="","LAMA QIIMEYN",IF(F7&gt;=0.8,"SARE",IF(F7&gt;=0.6,"DHEXDHEXAAD","HOOSE")))</f>
        <v>LAMA QIIMEYN</v>
      </c>
    </row>
    <row r="8" spans="8:8" ht="27.0" customHeight="1">
      <c r="A8" s="38" t="s">
        <v>127</v>
      </c>
      <c r="B8" s="38" t="s">
        <v>113</v>
      </c>
      <c r="C8" s="38" t="s">
        <v>114</v>
      </c>
      <c r="D8" s="38" t="s">
        <v>128</v>
      </c>
      <c r="E8" s="38">
        <v>9.12821363E8</v>
      </c>
      <c r="F8" s="37"/>
      <c r="G8" s="1" t="str">
        <f>IF(F8="","LAMA QIIMEYN",IF(F8&gt;=0.8,"SARE",IF(F8&gt;=0.6,"DHEXDHEXAAD","HOOSE")))</f>
        <v>LAMA QIIMEYN</v>
      </c>
    </row>
    <row r="9" spans="8:8" ht="27.0" customHeight="1">
      <c r="A9" s="38" t="s">
        <v>129</v>
      </c>
      <c r="B9" s="38" t="s">
        <v>113</v>
      </c>
      <c r="C9" s="38" t="s">
        <v>114</v>
      </c>
      <c r="D9" s="38" t="s">
        <v>130</v>
      </c>
      <c r="E9" s="38">
        <v>9.16150076E8</v>
      </c>
      <c r="F9" s="37"/>
      <c r="G9" s="1" t="str">
        <f>IF(F9="","LAMA QIIMEYN",IF(F9&gt;=0.8,"SARE",IF(F9&gt;=0.6,"DHEXDHEXAAD","HOOSE")))</f>
        <v>LAMA QIIMEYN</v>
      </c>
    </row>
    <row r="10" spans="8:8" ht="27.0" customHeight="1">
      <c r="A10" s="38" t="s">
        <v>131</v>
      </c>
      <c r="B10" s="38" t="s">
        <v>113</v>
      </c>
      <c r="C10" s="38" t="s">
        <v>114</v>
      </c>
      <c r="D10" s="38" t="s">
        <v>132</v>
      </c>
      <c r="E10" s="38">
        <v>9.11272545E8</v>
      </c>
      <c r="F10" s="37"/>
      <c r="G10" s="1" t="str">
        <f>IF(F10="","LAMA QIIMEYN",IF(F10&gt;=0.8,"SARE",IF(F10&gt;=0.6,"DHEXDHEXAAD","HOOSE")))</f>
        <v>LAMA QIIMEYN</v>
      </c>
    </row>
    <row r="11" spans="8:8" ht="27.0" customHeight="1">
      <c r="A11" s="39" t="s">
        <v>133</v>
      </c>
      <c r="B11" s="38" t="s">
        <v>113</v>
      </c>
      <c r="C11" s="38" t="s">
        <v>134</v>
      </c>
      <c r="D11" s="38" t="s">
        <v>135</v>
      </c>
      <c r="E11" s="41"/>
      <c r="F11" s="37"/>
      <c r="G11" s="1" t="str">
        <f>IF(F11="","LAMA QIIMEYN",IF(F11&gt;=0.8,"SARE",IF(F11&gt;=0.6,"DHEXDHEXAAD","HOOSE")))</f>
        <v>LAMA QIIMEYN</v>
      </c>
    </row>
    <row r="12" spans="8:8" ht="27.0" customHeight="1">
      <c r="A12" s="38" t="s">
        <v>136</v>
      </c>
      <c r="B12" s="38" t="s">
        <v>118</v>
      </c>
      <c r="C12" s="38" t="s">
        <v>114</v>
      </c>
      <c r="D12" s="38" t="s">
        <v>137</v>
      </c>
      <c r="E12" s="38">
        <v>9.16634252E8</v>
      </c>
      <c r="F12" s="37"/>
      <c r="G12" s="1" t="str">
        <f>IF(F12="","LAMA QIIMEYN",IF(F12&gt;=0.8,"SARE",IF(F12&gt;=0.6,"DHEXDHEXAAD","HOOSE")))</f>
        <v>LAMA QIIMEYN</v>
      </c>
    </row>
    <row r="13" spans="8:8" ht="27.0" customHeight="1">
      <c r="A13" s="38" t="s">
        <v>138</v>
      </c>
      <c r="B13" s="38" t="s">
        <v>113</v>
      </c>
      <c r="C13" s="38" t="s">
        <v>114</v>
      </c>
      <c r="D13" s="38" t="s">
        <v>139</v>
      </c>
      <c r="E13" s="38">
        <v>9.66867588E8</v>
      </c>
      <c r="F13" s="37"/>
      <c r="G13" s="1" t="str">
        <f>IF(F13="","LAMA QIIMEYN",IF(F13&gt;=0.8,"SARE",IF(F13&gt;=0.6,"DHEXDHEXAAD","HOOSE")))</f>
        <v>LAMA QIIMEYN</v>
      </c>
    </row>
    <row r="14" spans="8:8" ht="27.0" customHeight="1">
      <c r="A14" s="38" t="s">
        <v>140</v>
      </c>
      <c r="B14" s="38" t="s">
        <v>118</v>
      </c>
      <c r="C14" s="38">
        <v>12.0</v>
      </c>
      <c r="D14" s="38" t="s">
        <v>141</v>
      </c>
      <c r="E14" s="38">
        <v>9.74752884E8</v>
      </c>
      <c r="F14" s="37"/>
      <c r="G14" s="1" t="str">
        <f>IF(F14="","LAMA QIIMEYN",IF(F14&gt;=0.8,"SARE",IF(F14&gt;=0.6,"DHEXDHEXAAD","HOOSE")))</f>
        <v>LAMA QIIMEYN</v>
      </c>
    </row>
    <row r="15" spans="8:8" ht="27.0" customHeight="1">
      <c r="A15" s="38" t="s">
        <v>142</v>
      </c>
      <c r="B15" s="38" t="s">
        <v>143</v>
      </c>
      <c r="C15" s="38" t="s">
        <v>134</v>
      </c>
      <c r="D15" s="38" t="s">
        <v>144</v>
      </c>
      <c r="E15" s="41"/>
      <c r="F15" s="37"/>
      <c r="G15" s="1" t="str">
        <f>IF(F15="","LAMA QIIMEYN",IF(F15&gt;=0.8,"SARE",IF(F15&gt;=0.6,"DHEXDHEXAAD","HOOSE")))</f>
        <v>LAMA QIIMEYN</v>
      </c>
    </row>
    <row r="16" spans="8:8" ht="27.0" customHeight="1">
      <c r="A16" s="39" t="s">
        <v>145</v>
      </c>
      <c r="B16" s="38" t="s">
        <v>113</v>
      </c>
      <c r="C16" s="38">
        <v>12.0</v>
      </c>
      <c r="D16" s="38" t="s">
        <v>146</v>
      </c>
      <c r="E16" s="38">
        <v>9.46764655E8</v>
      </c>
      <c r="F16" s="37"/>
      <c r="G16" s="1" t="str">
        <f>IF(F16="","LAMA QIIMEYN",IF(F16&gt;=0.8,"SARE",IF(F16&gt;=0.6,"DHEXDHEXAAD","HOOSE")))</f>
        <v>LAMA QIIMEYN</v>
      </c>
    </row>
    <row r="17" spans="8:8" ht="27.0" customHeight="1">
      <c r="A17" s="38" t="s">
        <v>147</v>
      </c>
      <c r="B17" s="38" t="s">
        <v>148</v>
      </c>
      <c r="C17" s="38">
        <v>12.0</v>
      </c>
      <c r="D17" s="38" t="s">
        <v>149</v>
      </c>
      <c r="E17" s="38">
        <v>9.04373159E8</v>
      </c>
      <c r="F17" s="37"/>
      <c r="G17" s="1" t="str">
        <f>IF(F17="","LAMA QIIMEYN",IF(F17&gt;=0.8,"SARE",IF(F17&gt;=0.6,"DHEXDHEXAAD","HOOSE")))</f>
        <v>LAMA QIIMEYN</v>
      </c>
    </row>
    <row r="18" spans="8:8" ht="27.0" customHeight="1">
      <c r="A18" s="38" t="s">
        <v>150</v>
      </c>
      <c r="B18" s="38" t="s">
        <v>151</v>
      </c>
      <c r="C18" s="38" t="s">
        <v>134</v>
      </c>
      <c r="D18" s="38" t="s">
        <v>152</v>
      </c>
      <c r="E18" s="38">
        <v>9.15665013E8</v>
      </c>
      <c r="F18" s="37"/>
      <c r="G18" s="1" t="str">
        <f>IF(F18="","LAMA QIIMEYN",IF(F18&gt;=0.8,"SARE",IF(F18&gt;=0.6,"DHEXDHEXAAD","HOOSE")))</f>
        <v>LAMA QIIMEYN</v>
      </c>
    </row>
    <row r="19" spans="8:8" ht="15.75" customHeight="1">
      <c r="A19" s="38" t="s">
        <v>153</v>
      </c>
      <c r="B19" s="38" t="s">
        <v>154</v>
      </c>
      <c r="C19" s="38" t="s">
        <v>114</v>
      </c>
      <c r="D19" s="38" t="s">
        <v>155</v>
      </c>
      <c r="E19" s="38">
        <v>9.15004941E8</v>
      </c>
      <c r="F19" s="37"/>
      <c r="G19" s="1" t="str">
        <f>IF(F19="","LAMA QIIMEYN",IF(F19&gt;=0.8,"SARE",IF(F19&gt;=0.6,"DHEXDHEXAAD","HOOSE")))</f>
        <v>LAMA QIIMEYN</v>
      </c>
    </row>
    <row r="20" spans="8:8" ht="15.0" customHeight="1">
      <c r="A20" s="39" t="s">
        <v>156</v>
      </c>
      <c r="B20" s="38" t="s">
        <v>154</v>
      </c>
      <c r="C20" s="38" t="s">
        <v>114</v>
      </c>
      <c r="D20" s="38" t="s">
        <v>157</v>
      </c>
      <c r="E20" s="39">
        <v>9.53182378E8</v>
      </c>
      <c r="F20" s="37"/>
      <c r="G20" s="1" t="str">
        <f>IF(F20="","LAMA QIIMEYN",IF(F20&gt;=0.8,"SARE",IF(F20&gt;=0.6,"DHEXDHEXAAD","HOOSE")))</f>
        <v>LAMA QIIMEYN</v>
      </c>
    </row>
    <row r="21" spans="8:8" ht="15.75" customHeight="1">
      <c r="A21" s="38" t="s">
        <v>158</v>
      </c>
      <c r="B21" s="38" t="s">
        <v>154</v>
      </c>
      <c r="C21" s="38" t="s">
        <v>134</v>
      </c>
      <c r="D21" s="38" t="s">
        <v>159</v>
      </c>
      <c r="E21" s="38">
        <v>9.11823594E8</v>
      </c>
      <c r="F21" s="37"/>
      <c r="G21" s="1" t="str">
        <f>IF(F21="","LAMA QIIMEYN",IF(F21&gt;=0.8,"SARE",IF(F21&gt;=0.6,"DHEXDHEXAAD","HOOSE")))</f>
        <v>LAMA QIIMEYN</v>
      </c>
    </row>
    <row r="22" spans="8:8" ht="15.75" customHeight="1">
      <c r="A22" s="38" t="s">
        <v>160</v>
      </c>
      <c r="B22" s="38" t="s">
        <v>154</v>
      </c>
      <c r="C22" s="38" t="s">
        <v>114</v>
      </c>
      <c r="D22" s="38" t="s">
        <v>161</v>
      </c>
      <c r="E22" s="38">
        <v>9.13502021E8</v>
      </c>
      <c r="F22" s="37"/>
      <c r="G22" s="1" t="str">
        <f>IF(F22="","LAMA QIIMEYN",IF(F22&gt;=0.8,"SARE",IF(F22&gt;=0.6,"DHEXDHEXAAD","HOOSE")))</f>
        <v>LAMA QIIMEYN</v>
      </c>
    </row>
    <row r="23" spans="8:8" ht="15.0">
      <c r="A23" s="33"/>
      <c r="B23" s="33"/>
      <c r="C23" s="33"/>
      <c r="D23" s="33"/>
      <c r="E23" s="37">
        <f>_xlfn.IFERROR(D23/C23,0)</f>
        <v>0.0</v>
      </c>
      <c r="F23" s="37" t="str">
        <f>IF(E23&gt;=0.8,"SARE",IF(E23&gt;=0.6,"DHEXDHEXAAD","HOOSE"))</f>
        <v>HOOSE</v>
      </c>
      <c r="G23" s="1" t="str">
        <f>IF(F23="","LAMA QIIMEYN",IF(F23&gt;=0.8,"SARE",IF(F23&gt;=0.6,"DHEXDHEXAAD","HOOSE")))</f>
        <v>SARE</v>
      </c>
    </row>
    <row r="24" spans="8:8" ht="15.0">
      <c r="A24" s="33"/>
      <c r="B24" s="33"/>
      <c r="C24" s="33"/>
      <c r="D24" s="33"/>
      <c r="E24" s="37">
        <f>_xlfn.IFERROR(D24/C24,0)</f>
        <v>0.0</v>
      </c>
      <c r="F24" s="37" t="str">
        <f>IF(E24&gt;=0.8,"SARE",IF(E24&gt;=0.6,"DHEXDHEXAAD","HOOSE"))</f>
        <v>HOOSE</v>
      </c>
      <c r="G24" s="1" t="str">
        <f>IF(F24="","LAMA QIIMEYN",IF(F24&gt;=0.8,"SARE",IF(F24&gt;=0.6,"DHEXDHEXAAD","HOOSE")))</f>
        <v>SARE</v>
      </c>
    </row>
    <row r="25" spans="8:8" ht="15.0">
      <c r="A25" s="33"/>
      <c r="B25" s="33"/>
      <c r="C25" s="33"/>
      <c r="D25" s="33"/>
      <c r="E25" s="37">
        <f>_xlfn.IFERROR(D25/C25,0)</f>
        <v>0.0</v>
      </c>
      <c r="F25" s="37" t="str">
        <f>IF(E25&gt;=0.8,"SARE",IF(E25&gt;=0.6,"DHEXDHEXAAD","HOOSE"))</f>
        <v>HOOSE</v>
      </c>
      <c r="G25" s="1" t="str">
        <f>IF(F25="","LAMA QIIMEYN",IF(F25&gt;=0.8,"SARE",IF(F25&gt;=0.6,"DHEXDHEXAAD","HOOSE")))</f>
        <v>SARE</v>
      </c>
    </row>
    <row r="26" spans="8:8" ht="15.0">
      <c r="A26" s="33"/>
      <c r="B26" s="33"/>
      <c r="C26" s="33"/>
      <c r="D26" s="33"/>
      <c r="E26" s="37">
        <f>_xlfn.IFERROR(D26/C26,0)</f>
        <v>0.0</v>
      </c>
      <c r="F26" s="37" t="str">
        <f>IF(E26&gt;=0.8,"SARE",IF(E26&gt;=0.6,"DHEXDHEXAAD","HOOSE"))</f>
        <v>HOOSE</v>
      </c>
      <c r="G26" s="1" t="str">
        <f>IF(F26="","LAMA QIIMEYN",IF(F26&gt;=0.8,"SARE",IF(F26&gt;=0.6,"DHEXDHEXAAD","HOOSE")))</f>
        <v>SARE</v>
      </c>
    </row>
    <row r="27" spans="8:8" ht="15.0">
      <c r="A27" s="33"/>
      <c r="B27" s="33"/>
      <c r="C27" s="33"/>
      <c r="D27" s="33"/>
      <c r="E27" s="37">
        <f>_xlfn.IFERROR(D27/C27,0)</f>
        <v>0.0</v>
      </c>
      <c r="F27" s="37" t="str">
        <f>IF(E27&gt;=0.8,"SARE",IF(E27&gt;=0.6,"DHEXDHEXAAD","HOOSE"))</f>
        <v>HOOSE</v>
      </c>
      <c r="G27" s="1" t="str">
        <f>IF(F27="","LAMA QIIMEYN",IF(F27&gt;=0.8,"SARE",IF(F27&gt;=0.6,"DHEXDHEXAAD","HOOSE")))</f>
        <v>SARE</v>
      </c>
    </row>
    <row r="28" spans="8:8" ht="15.0">
      <c r="A28" s="33"/>
      <c r="B28" s="33"/>
      <c r="C28" s="33"/>
      <c r="D28" s="33"/>
      <c r="E28" s="37">
        <f>_xlfn.IFERROR(D28/C28,0)</f>
        <v>0.0</v>
      </c>
      <c r="F28" s="37" t="str">
        <f>IF(E28&gt;=0.8,"SARE",IF(E28&gt;=0.6,"DHEXDHEXAAD","HOOSE"))</f>
        <v>HOOSE</v>
      </c>
      <c r="G28" s="1" t="str">
        <f>IF(F28="","LAMA QIIMEYN",IF(F28&gt;=0.8,"SARE",IF(F28&gt;=0.6,"DHEXDHEXAAD","HOOSE")))</f>
        <v>SARE</v>
      </c>
    </row>
    <row r="29" spans="8:8" ht="15.0">
      <c r="A29" s="33"/>
      <c r="B29" s="33"/>
      <c r="C29" s="33"/>
      <c r="D29" s="33"/>
      <c r="E29" s="37">
        <f>_xlfn.IFERROR(D29/C29,0)</f>
        <v>0.0</v>
      </c>
      <c r="F29" s="37" t="str">
        <f>IF(E29&gt;=0.8,"SARE",IF(E29&gt;=0.6,"DHEXDHEXAAD","HOOSE"))</f>
        <v>HOOSE</v>
      </c>
      <c r="G29" s="1" t="str">
        <f>IF(F29="","LAMA QIIMEYN",IF(F29&gt;=0.8,"SARE",IF(F29&gt;=0.6,"DHEXDHEXAAD","HOOSE")))</f>
        <v>SARE</v>
      </c>
    </row>
    <row r="30" spans="8:8" ht="15.0">
      <c r="A30" s="33"/>
      <c r="B30" s="33"/>
      <c r="C30" s="33"/>
      <c r="D30" s="33"/>
      <c r="E30" s="37">
        <f>_xlfn.IFERROR(D30/C30,0)</f>
        <v>0.0</v>
      </c>
      <c r="F30" s="37" t="str">
        <f>IF(E30&gt;=0.8,"SARE",IF(E30&gt;=0.6,"DHEXDHEXAAD","HOOSE"))</f>
        <v>HOOSE</v>
      </c>
      <c r="G30" s="1" t="str">
        <f>IF(F30="","LAMA QIIMEYN",IF(F30&gt;=0.8,"SARE",IF(F30&gt;=0.6,"DHEXDHEXAAD","HOOSE")))</f>
        <v>SARE</v>
      </c>
    </row>
    <row r="31" spans="8:8" ht="15.0">
      <c r="A31" s="33"/>
      <c r="B31" s="33"/>
      <c r="C31" s="33"/>
      <c r="D31" s="33"/>
      <c r="E31" s="37">
        <f>_xlfn.IFERROR(D31/C31,0)</f>
        <v>0.0</v>
      </c>
      <c r="F31" s="37" t="str">
        <f>IF(E31&gt;=0.8,"SARE",IF(E31&gt;=0.6,"DHEXDHEXAAD","HOOSE"))</f>
        <v>HOOSE</v>
      </c>
      <c r="G31" s="1" t="str">
        <f>IF(F31="","LAMA QIIMEYN",IF(F31&gt;=0.8,"SARE",IF(F31&gt;=0.6,"DHEXDHEXAAD","HOOSE")))</f>
        <v>SARE</v>
      </c>
    </row>
  </sheetData>
  <mergeCells count="1">
    <mergeCell ref="A1:I1"/>
  </mergeCells>
  <conditionalFormatting sqref="E23:E31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G3:G20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25" right="0.25" top="0.4" bottom="0.4" header="0.511811023622047" footer="0.511811023622047"/>
  <pageSetup paperSize="8" fitToHeight="0" orientation="landscape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zoomScale="73">
      <selection activeCell="A1" sqref="A1:E1"/>
    </sheetView>
  </sheetViews>
  <sheetFormatPr defaultRowHeight="15.0" customHeight="1" defaultColWidth="10" zeroHeight="1"/>
  <cols>
    <col min="1" max="1" customWidth="1" width="26.0" style="0"/>
    <col min="2" max="3" customWidth="1" width="12.0" style="0"/>
    <col min="4" max="4" customWidth="1" width="27.0" style="0"/>
    <col min="5" max="5" customWidth="1" width="42.0" style="0"/>
  </cols>
  <sheetData>
    <row r="1" spans="8:8" ht="54.0" customHeight="1">
      <c r="A1" s="15" t="s">
        <v>162</v>
      </c>
      <c r="B1" s="15"/>
      <c r="C1" s="15"/>
      <c r="D1" s="15"/>
      <c r="E1" s="15"/>
    </row>
    <row r="2" spans="8:8" ht="15.0">
      <c r="A2" s="16" t="s">
        <v>163</v>
      </c>
      <c r="B2" s="16" t="s">
        <v>74</v>
      </c>
      <c r="C2" s="16" t="s">
        <v>75</v>
      </c>
      <c r="D2" s="16" t="s">
        <v>164</v>
      </c>
      <c r="E2" s="16" t="s">
        <v>111</v>
      </c>
    </row>
    <row r="3" spans="8:8" ht="41.25" customHeight="1">
      <c r="A3" s="42" t="s">
        <v>165</v>
      </c>
      <c r="B3" s="43" t="s">
        <v>166</v>
      </c>
      <c r="C3" s="43" t="s">
        <v>167</v>
      </c>
      <c r="D3" s="44">
        <v>0.95</v>
      </c>
      <c r="E3" s="33" t="str">
        <f>IF(D3="","",IF(D3&gt;=0.8,"SARE",IF(D3&gt;=0.6,"DHEXDHEXAAD","HOOSE")))</f>
        <v>SARE</v>
      </c>
    </row>
    <row r="4" spans="8:8" ht="20.25" customHeight="1">
      <c r="A4" s="45" t="s">
        <v>168</v>
      </c>
      <c r="D4" s="46"/>
      <c r="E4" s="33" t="str">
        <f>IF(D4="","",IF(D4&gt;=0.8,"SARE",IF(D4&gt;=0.6,"DHEXDHEXAAD","HOOSE")))</f>
        <v/>
      </c>
    </row>
    <row r="5" spans="8:8" ht="41.25" customHeight="1">
      <c r="A5" s="47" t="s">
        <v>169</v>
      </c>
      <c r="B5" s="47">
        <v>936.52</v>
      </c>
      <c r="C5" s="47">
        <v>936.5</v>
      </c>
      <c r="D5" s="48">
        <v>1.0</v>
      </c>
      <c r="E5" s="33" t="str">
        <f>IF(D5="","",IF(D5&gt;=0.8,"SARE",IF(D5&gt;=0.6,"DHEXDHEXAAD","HOOSE")))</f>
        <v>SARE</v>
      </c>
    </row>
    <row r="6" spans="8:8" ht="20.25" customHeight="1">
      <c r="A6" s="47" t="s">
        <v>170</v>
      </c>
      <c r="B6" s="47" t="s">
        <v>171</v>
      </c>
      <c r="C6" s="47" t="s">
        <v>171</v>
      </c>
      <c r="D6" s="48">
        <v>1.0</v>
      </c>
      <c r="E6" s="33" t="str">
        <f>IF(D6="","",IF(D6&gt;=0.8,"SARE",IF(D6&gt;=0.6,"DHEXDHEXAAD","HOOSE")))</f>
        <v>SARE</v>
      </c>
    </row>
    <row r="7" spans="8:8" ht="23.25" customHeight="1">
      <c r="A7" s="49" t="s">
        <v>172</v>
      </c>
      <c r="B7" s="49" t="s">
        <v>173</v>
      </c>
      <c r="C7" s="49" t="s">
        <v>173</v>
      </c>
      <c r="D7" s="50">
        <v>1.0</v>
      </c>
      <c r="E7" s="33" t="str">
        <f>IF(D7="","",IF(D7&gt;=0.8,"SARE",IF(D7&gt;=0.6,"DHEXDHEXAAD","HOOSE")))</f>
        <v>SARE</v>
      </c>
    </row>
    <row r="8" spans="8:8" ht="23.25" customHeight="1">
      <c r="A8" s="47" t="s">
        <v>174</v>
      </c>
      <c r="B8" s="49" t="s">
        <v>175</v>
      </c>
      <c r="C8" s="49" t="s">
        <v>175</v>
      </c>
      <c r="D8" s="50">
        <v>1.0</v>
      </c>
      <c r="E8" s="33" t="str">
        <f>IF(D8="","",IF(D8&gt;=0.8,"SARE",IF(D8&gt;=0.6,"DHEXDHEXAAD","HOOSE")))</f>
        <v>SARE</v>
      </c>
    </row>
    <row r="9" spans="8:8" ht="20.25" customHeight="1">
      <c r="A9" s="51" t="s">
        <v>176</v>
      </c>
      <c r="B9" s="51" t="s">
        <v>177</v>
      </c>
      <c r="C9" s="51" t="s">
        <v>177</v>
      </c>
      <c r="D9" s="52">
        <v>1.0</v>
      </c>
      <c r="E9" s="33" t="str">
        <f>IF(D9="","",IF(D9&gt;=0.8,"SARE",IF(D9&gt;=0.6,"DHEXDHEXAAD","HOOSE")))</f>
        <v>SARE</v>
      </c>
    </row>
    <row r="10" spans="8:8" ht="41.25" customHeight="1">
      <c r="A10" s="51" t="s">
        <v>178</v>
      </c>
      <c r="B10" s="51" t="s">
        <v>179</v>
      </c>
      <c r="C10" s="51" t="s">
        <v>179</v>
      </c>
      <c r="D10" s="52">
        <v>1.0</v>
      </c>
      <c r="E10" s="33" t="str">
        <f>IF(D10="","",IF(D10&gt;=0.8,"SARE",IF(D10&gt;=0.6,"DHEXDHEXAAD","HOOSE")))</f>
        <v>SARE</v>
      </c>
    </row>
    <row r="11" spans="8:8" ht="15.0">
      <c r="A11" s="33"/>
      <c r="B11" s="33"/>
      <c r="C11" s="33"/>
      <c r="D11" s="37">
        <f>_xlfn.IFERROR(C11/B11,0)</f>
        <v>0.0</v>
      </c>
      <c r="E11" s="33" t="str">
        <f>IF(D11="","",IF(D11&gt;=0.8,"SARE",IF(D11&gt;=0.6,"DHEXDHEXAAD","HOOSE")))</f>
        <v>HOOSE</v>
      </c>
    </row>
    <row r="12" spans="8:8" ht="15.0">
      <c r="A12" s="33"/>
      <c r="B12" s="33"/>
      <c r="C12" s="33"/>
      <c r="D12" s="37">
        <f>_xlfn.IFERROR(C12/B12,0)</f>
        <v>0.0</v>
      </c>
      <c r="E12" s="33" t="str">
        <f>IF(D12="","",IF(D12&gt;=0.8,"SARE",IF(D12&gt;=0.6,"DHEXDHEXAAD","HOOSE")))</f>
        <v>HOOSE</v>
      </c>
    </row>
    <row r="13" spans="8:8" ht="15.0">
      <c r="A13" s="33"/>
      <c r="B13" s="33"/>
      <c r="C13" s="33"/>
      <c r="D13" s="37">
        <f>_xlfn.IFERROR(C13/B13,0)</f>
        <v>0.0</v>
      </c>
      <c r="E13" s="33" t="str">
        <f>IF(D13="","",IF(D13&gt;=0.8,"SARE",IF(D13&gt;=0.6,"DHEXDHEXAAD","HOOSE")))</f>
        <v>HOOSE</v>
      </c>
    </row>
    <row r="14" spans="8:8" ht="15.0">
      <c r="A14" s="33"/>
      <c r="B14" s="33"/>
      <c r="C14" s="33"/>
      <c r="D14" s="37">
        <f>_xlfn.IFERROR(C14/B14,0)</f>
        <v>0.0</v>
      </c>
      <c r="E14" s="33" t="str">
        <f>IF(D14="","",IF(D14&gt;=0.8,"SARE",IF(D14&gt;=0.6,"DHEXDHEXAAD","HOOSE")))</f>
        <v>HOOSE</v>
      </c>
    </row>
    <row r="15" spans="8:8" ht="15.0">
      <c r="A15" s="33"/>
      <c r="B15" s="33"/>
      <c r="C15" s="33"/>
      <c r="D15" s="37">
        <f>_xlfn.IFERROR(C15/B15,0)</f>
        <v>0.0</v>
      </c>
      <c r="E15" s="33" t="str">
        <f>IF(D15="","",IF(D15&gt;=0.8,"SARE",IF(D15&gt;=0.6,"DHEXDHEXAAD","HOOSE")))</f>
        <v>HOOSE</v>
      </c>
    </row>
    <row r="16" spans="8:8" ht="15.0">
      <c r="A16" s="33"/>
      <c r="B16" s="33"/>
      <c r="C16" s="33"/>
      <c r="D16" s="37">
        <f>_xlfn.IFERROR(C16/B16,0)</f>
        <v>0.0</v>
      </c>
      <c r="E16" s="33" t="str">
        <f>IF(D16="","",IF(D16&gt;=0.8,"SARE",IF(D16&gt;=0.6,"DHEXDHEXAAD","HOOSE")))</f>
        <v>HOOSE</v>
      </c>
    </row>
    <row r="17" spans="8:8" ht="15.0">
      <c r="A17" s="33"/>
      <c r="B17" s="33"/>
      <c r="C17" s="33"/>
      <c r="D17" s="37">
        <f>_xlfn.IFERROR(C17/B17,0)</f>
        <v>0.0</v>
      </c>
      <c r="E17" s="33" t="str">
        <f>IF(D17="","",IF(D17&gt;=0.8,"SARE",IF(D17&gt;=0.6,"DHEXDHEXAAD","HOOSE")))</f>
        <v>HOOSE</v>
      </c>
    </row>
    <row r="18" spans="8:8" ht="15.0">
      <c r="A18" s="33"/>
      <c r="B18" s="33"/>
      <c r="C18" s="33"/>
      <c r="D18" s="37">
        <f>_xlfn.IFERROR(C18/B18,0)</f>
        <v>0.0</v>
      </c>
      <c r="E18" s="33" t="str">
        <f>IF(D18="","",IF(D18&gt;=0.8,"SARE",IF(D18&gt;=0.6,"DHEXDHEXAAD","HOOSE")))</f>
        <v>HOOSE</v>
      </c>
    </row>
    <row r="19" spans="8:8" ht="15.0">
      <c r="A19" s="33"/>
      <c r="B19" s="33"/>
      <c r="C19" s="33"/>
      <c r="D19" s="37">
        <f>_xlfn.IFERROR(C19/B19,0)</f>
        <v>0.0</v>
      </c>
      <c r="E19" s="33" t="str">
        <f>IF(D19="","",IF(D19&gt;=0.8,"SARE",IF(D19&gt;=0.6,"DHEXDHEXAAD","HOOSE")))</f>
        <v>HOOSE</v>
      </c>
    </row>
    <row r="20" spans="8:8" ht="15.0">
      <c r="A20" s="33"/>
      <c r="B20" s="33"/>
      <c r="C20" s="33"/>
      <c r="D20" s="37">
        <f>_xlfn.IFERROR(C20/B20,0)</f>
        <v>0.0</v>
      </c>
      <c r="E20" s="33" t="str">
        <f>IF(D20="","",IF(D20&gt;=0.8,"SARE",IF(D20&gt;=0.6,"DHEXDHEXAAD","HOOSE")))</f>
        <v>HOOSE</v>
      </c>
    </row>
    <row r="21" spans="8:8" ht="15.0">
      <c r="A21" s="33"/>
      <c r="B21" s="33"/>
      <c r="C21" s="33"/>
      <c r="D21" s="37">
        <f>_xlfn.IFERROR(C21/B21,0)</f>
        <v>0.0</v>
      </c>
      <c r="E21" s="33" t="str">
        <f>IF(D21="","",IF(D21&gt;=0.8,"SARE",IF(D21&gt;=0.6,"DHEXDHEXAAD","HOOSE")))</f>
        <v>HOOSE</v>
      </c>
    </row>
    <row r="22" spans="8:8" ht="15.0">
      <c r="A22" s="33"/>
      <c r="B22" s="33"/>
      <c r="C22" s="33"/>
      <c r="D22" s="37">
        <f>_xlfn.IFERROR(C22/B22,0)</f>
        <v>0.0</v>
      </c>
      <c r="E22" s="33" t="str">
        <f>IF(D22="","",IF(D22&gt;=0.8,"SARE",IF(D22&gt;=0.6,"DHEXDHEXAAD","HOOSE")))</f>
        <v>HOOSE</v>
      </c>
    </row>
  </sheetData>
  <mergeCells count="1">
    <mergeCell ref="A1:E1"/>
  </mergeCells>
  <conditionalFormatting sqref="D11:D22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E3:E32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G3:G21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25" right="0.25" top="0.4" bottom="0.4" header="0.511811023622047" footer="0.511811023622047"/>
  <pageSetup paperSize="8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2"/>
  <sheetViews>
    <sheetView workbookViewId="0" topLeftCell="E1" showGridLines="0" zoomScale="73">
      <selection activeCell="A1" sqref="A1:G1"/>
    </sheetView>
  </sheetViews>
  <sheetFormatPr defaultRowHeight="15.0" customHeight="1" defaultColWidth="10" zeroHeight="1"/>
  <cols>
    <col min="1" max="1" customWidth="1" width="37.0" style="0"/>
    <col min="2" max="2" customWidth="1" width="22.0" style="0"/>
    <col min="3" max="4" customWidth="1" width="12.0" style="0"/>
    <col min="5" max="5" customWidth="1" width="27.0" style="0"/>
    <col min="6" max="6" customWidth="1" width="31.0" style="0"/>
    <col min="7" max="7" customWidth="1" width="24.0" style="1"/>
  </cols>
  <sheetData>
    <row r="1" spans="8:8" ht="42.75" customHeight="1">
      <c r="A1" s="15" t="s">
        <v>180</v>
      </c>
      <c r="B1" s="15"/>
      <c r="C1" s="15"/>
      <c r="D1" s="15"/>
      <c r="E1" s="15"/>
      <c r="F1" s="15"/>
      <c r="G1" s="15"/>
    </row>
    <row r="2" spans="8:8" ht="28.35">
      <c r="A2" s="16" t="s">
        <v>181</v>
      </c>
      <c r="B2" s="16" t="s">
        <v>182</v>
      </c>
      <c r="C2" s="16" t="s">
        <v>74</v>
      </c>
      <c r="D2" s="16" t="s">
        <v>183</v>
      </c>
      <c r="E2" s="16" t="s">
        <v>164</v>
      </c>
      <c r="F2" s="16" t="s">
        <v>111</v>
      </c>
      <c r="G2" s="16"/>
    </row>
    <row r="3" spans="8:8" ht="18.75" customHeight="1">
      <c r="A3" s="53" t="s">
        <v>184</v>
      </c>
      <c r="B3" s="54" t="s">
        <v>185</v>
      </c>
      <c r="E3" s="53" t="s">
        <v>186</v>
      </c>
      <c r="F3" s="53" t="s">
        <v>187</v>
      </c>
      <c r="G3" s="53" t="s">
        <v>188</v>
      </c>
    </row>
    <row r="4" spans="8:8" ht="20.25" customHeight="1">
      <c r="B4" s="55" t="s">
        <v>189</v>
      </c>
      <c r="C4" s="55" t="s">
        <v>190</v>
      </c>
      <c r="D4" s="55" t="s">
        <v>191</v>
      </c>
    </row>
    <row r="5" spans="8:8" ht="46.5" customHeight="1">
      <c r="A5" s="49" t="s">
        <v>192</v>
      </c>
      <c r="B5" s="56">
        <v>56.0</v>
      </c>
      <c r="C5" s="56">
        <v>32.0</v>
      </c>
      <c r="D5" s="56">
        <v>88.0</v>
      </c>
      <c r="E5" s="56" t="s">
        <v>193</v>
      </c>
      <c r="F5" s="56" t="s">
        <v>194</v>
      </c>
      <c r="G5" s="56" t="s">
        <v>195</v>
      </c>
    </row>
    <row r="6" spans="8:8" ht="46.5" customHeight="1">
      <c r="A6" s="49" t="s">
        <v>196</v>
      </c>
      <c r="B6" s="56">
        <v>66.0</v>
      </c>
      <c r="C6" s="56">
        <v>39.0</v>
      </c>
      <c r="D6" s="56">
        <v>105.0</v>
      </c>
      <c r="E6" s="56" t="s">
        <v>197</v>
      </c>
      <c r="F6" s="56" t="s">
        <v>198</v>
      </c>
      <c r="G6" s="56" t="s">
        <v>199</v>
      </c>
    </row>
    <row r="7" spans="8:8" ht="46.5" customHeight="1">
      <c r="A7" s="49" t="s">
        <v>200</v>
      </c>
      <c r="B7" s="57">
        <v>38.0</v>
      </c>
      <c r="C7" s="57">
        <v>54.0</v>
      </c>
      <c r="D7" s="57">
        <v>93.0</v>
      </c>
      <c r="E7" s="56" t="s">
        <v>201</v>
      </c>
      <c r="F7" s="56" t="s">
        <v>202</v>
      </c>
      <c r="G7" s="56" t="s">
        <v>203</v>
      </c>
    </row>
    <row r="8" spans="8:8" ht="46.5" customHeight="1">
      <c r="A8" s="49" t="s">
        <v>204</v>
      </c>
      <c r="B8" s="56">
        <v>64.0</v>
      </c>
      <c r="C8" s="56">
        <v>35.0</v>
      </c>
      <c r="D8" s="56">
        <v>99.0</v>
      </c>
      <c r="E8" s="56" t="s">
        <v>205</v>
      </c>
      <c r="F8" s="56" t="s">
        <v>206</v>
      </c>
      <c r="G8" s="56" t="s">
        <v>207</v>
      </c>
    </row>
    <row r="9" spans="8:8" ht="46.5" customHeight="1">
      <c r="A9" s="49" t="s">
        <v>208</v>
      </c>
      <c r="B9" s="56">
        <v>0.0</v>
      </c>
      <c r="C9" s="56">
        <v>0.0</v>
      </c>
      <c r="D9" s="56">
        <v>0.0</v>
      </c>
      <c r="E9" s="56">
        <v>0.0</v>
      </c>
      <c r="F9" s="56" t="s">
        <v>209</v>
      </c>
      <c r="G9" s="56" t="s">
        <v>209</v>
      </c>
    </row>
    <row r="10" spans="8:8" ht="46.5" customHeight="1">
      <c r="A10" s="49" t="s">
        <v>210</v>
      </c>
      <c r="B10" s="58">
        <v>160.0</v>
      </c>
      <c r="C10" s="58">
        <v>0.0</v>
      </c>
      <c r="D10" s="58">
        <v>160.0</v>
      </c>
      <c r="E10" s="58" t="s">
        <v>211</v>
      </c>
      <c r="F10" s="58" t="s">
        <v>212</v>
      </c>
      <c r="G10" s="58" t="s">
        <v>213</v>
      </c>
    </row>
    <row r="11" spans="8:8" ht="69.75" customHeight="1">
      <c r="A11" s="49" t="s">
        <v>214</v>
      </c>
      <c r="B11" s="58">
        <v>0.0</v>
      </c>
      <c r="C11" s="58">
        <v>0.0</v>
      </c>
      <c r="D11" s="58">
        <v>0.0</v>
      </c>
      <c r="E11" s="58">
        <v>0.0</v>
      </c>
      <c r="F11" s="58" t="s">
        <v>215</v>
      </c>
      <c r="G11" s="58" t="s">
        <v>215</v>
      </c>
    </row>
    <row r="12" spans="8:8" ht="41.25" customHeight="1">
      <c r="A12" s="59" t="s">
        <v>216</v>
      </c>
      <c r="B12" s="60">
        <v>384.0</v>
      </c>
      <c r="C12" s="60">
        <v>160.0</v>
      </c>
      <c r="D12" s="60">
        <v>544.0</v>
      </c>
      <c r="E12" s="60" t="s">
        <v>217</v>
      </c>
      <c r="F12" s="60" t="s">
        <v>218</v>
      </c>
      <c r="G12" s="60" t="s">
        <v>219</v>
      </c>
    </row>
    <row r="13" spans="8:8" ht="15.0">
      <c r="A13" s="33"/>
      <c r="B13" s="33"/>
      <c r="C13" s="33"/>
      <c r="D13" s="33"/>
      <c r="E13" s="37">
        <f>_xlfn.IFERROR(D13/C13,0)</f>
        <v>0.0</v>
      </c>
      <c r="F13" s="33"/>
    </row>
    <row r="14" spans="8:8" ht="15.0">
      <c r="A14" s="33"/>
      <c r="B14" s="33"/>
      <c r="C14" s="33"/>
      <c r="D14" s="33"/>
      <c r="E14" s="37">
        <f>_xlfn.IFERROR(D14/C14,0)</f>
        <v>0.0</v>
      </c>
      <c r="F14" s="33"/>
    </row>
    <row r="15" spans="8:8" ht="15.0">
      <c r="A15" s="33"/>
      <c r="B15" s="33"/>
      <c r="C15" s="33"/>
      <c r="D15" s="33"/>
      <c r="E15" s="37">
        <f>_xlfn.IFERROR(D15/C15,0)</f>
        <v>0.0</v>
      </c>
      <c r="F15" s="33"/>
    </row>
    <row r="16" spans="8:8" ht="15.0">
      <c r="A16" s="33"/>
      <c r="B16" s="33"/>
      <c r="C16" s="33"/>
      <c r="D16" s="33"/>
      <c r="E16" s="37">
        <f>_xlfn.IFERROR(D16/C16,0)</f>
        <v>0.0</v>
      </c>
      <c r="F16" s="33"/>
    </row>
    <row r="17" spans="8:8" ht="15.0">
      <c r="A17" s="33"/>
      <c r="B17" s="33"/>
      <c r="C17" s="33"/>
      <c r="D17" s="33"/>
      <c r="E17" s="37">
        <f>_xlfn.IFERROR(D17/C17,0)</f>
        <v>0.0</v>
      </c>
      <c r="F17" s="33"/>
    </row>
    <row r="18" spans="8:8" ht="15.0">
      <c r="A18" s="33"/>
      <c r="B18" s="33"/>
      <c r="C18" s="33"/>
      <c r="D18" s="33"/>
      <c r="E18" s="37">
        <f>_xlfn.IFERROR(D18/C18,0)</f>
        <v>0.0</v>
      </c>
      <c r="F18" s="33"/>
    </row>
    <row r="19" spans="8:8" ht="15.0">
      <c r="A19" s="33"/>
      <c r="B19" s="33"/>
      <c r="C19" s="33"/>
      <c r="D19" s="33"/>
      <c r="E19" s="37">
        <f>_xlfn.IFERROR(D19/C19,0)</f>
        <v>0.0</v>
      </c>
      <c r="F19" s="33"/>
    </row>
    <row r="20" spans="8:8" ht="15.0">
      <c r="A20" s="33"/>
      <c r="B20" s="33"/>
      <c r="C20" s="33"/>
      <c r="D20" s="33"/>
      <c r="E20" s="37">
        <f>_xlfn.IFERROR(D20/C20,0)</f>
        <v>0.0</v>
      </c>
      <c r="F20" s="33"/>
    </row>
    <row r="21" spans="8:8" ht="15.0">
      <c r="A21" s="33"/>
      <c r="B21" s="33"/>
      <c r="C21" s="33"/>
      <c r="D21" s="33"/>
      <c r="E21" s="37">
        <f>_xlfn.IFERROR(D21/C21,0)</f>
        <v>0.0</v>
      </c>
      <c r="F21" s="33"/>
    </row>
    <row r="22" spans="8:8" ht="15.0">
      <c r="A22" s="33"/>
      <c r="B22" s="33"/>
      <c r="C22" s="33"/>
      <c r="D22" s="33"/>
      <c r="E22" s="37">
        <f>_xlfn.IFERROR(D22/C22,0)</f>
        <v>0.0</v>
      </c>
      <c r="F22" s="33"/>
    </row>
  </sheetData>
  <mergeCells count="1">
    <mergeCell ref="A1:G1"/>
  </mergeCells>
  <conditionalFormatting sqref="E13:E32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D13:D22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G13:G21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25" right="0.25" top="0.4" bottom="0.4" header="0.511811023622047" footer="0.511811023622047"/>
  <pageSetup paperSize="8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22"/>
  <sheetViews>
    <sheetView workbookViewId="0" showGridLines="0">
      <selection activeCell="A1" sqref="A1:A1048576"/>
    </sheetView>
  </sheetViews>
  <sheetFormatPr defaultRowHeight="15.0" customHeight="1" defaultColWidth="10" zeroHeight="1"/>
  <cols>
    <col min="1" max="1" customWidth="1" width="26.0" style="0"/>
    <col min="2" max="3" customWidth="1" width="12.0" style="0"/>
    <col min="4" max="4" customWidth="1" width="13.0" style="0"/>
    <col min="5" max="5" customWidth="1" width="31.0" style="0"/>
    <col min="6" max="6" customWidth="1" width="12.0" style="0"/>
    <col min="7" max="7" customWidth="1" width="12.0" style="1"/>
    <col min="8" max="8" customWidth="1" width="20.0" style="1"/>
    <col min="9" max="9" customWidth="1" width="37.0" style="1"/>
  </cols>
  <sheetData>
    <row r="1" spans="8:8" ht="19.7" customHeight="1">
      <c r="A1" s="15" t="s">
        <v>220</v>
      </c>
      <c r="B1" s="15"/>
      <c r="C1" s="15"/>
      <c r="D1" s="15"/>
      <c r="E1" s="15"/>
      <c r="F1" s="15"/>
      <c r="H1" s="61" t="s">
        <v>221</v>
      </c>
    </row>
    <row r="2" spans="8:8" ht="15.0">
      <c r="A2" s="16" t="s">
        <v>182</v>
      </c>
      <c r="B2" s="16" t="s">
        <v>222</v>
      </c>
      <c r="C2" s="16" t="s">
        <v>223</v>
      </c>
      <c r="D2" s="16" t="s">
        <v>224</v>
      </c>
      <c r="E2" s="16" t="s">
        <v>225</v>
      </c>
      <c r="F2" s="16" t="s">
        <v>111</v>
      </c>
      <c r="H2" s="62" t="s">
        <v>33</v>
      </c>
      <c r="I2" s="63">
        <f>SUM(C3:C22)</f>
        <v>0.0</v>
      </c>
    </row>
    <row r="3" spans="8:8" ht="15.0">
      <c r="A3" s="33"/>
      <c r="B3" s="33"/>
      <c r="C3" s="33"/>
      <c r="D3" s="33"/>
      <c r="E3" s="33" t="str">
        <f>IF(C3="","",MAX(C3-D3,0))</f>
        <v/>
      </c>
      <c r="F3" s="33"/>
      <c r="H3" s="62" t="s">
        <v>36</v>
      </c>
      <c r="I3" s="63">
        <f>SUM(D3:D22)</f>
        <v>0.0</v>
      </c>
    </row>
    <row r="4" spans="8:8" ht="15.0">
      <c r="A4" s="33"/>
      <c r="B4" s="33"/>
      <c r="C4" s="33"/>
      <c r="D4" s="33"/>
      <c r="E4" s="33" t="str">
        <f>IF(C4="","",MAX(C4-D4,0))</f>
        <v/>
      </c>
      <c r="F4" s="33"/>
      <c r="H4" s="62" t="s">
        <v>38</v>
      </c>
      <c r="I4" s="63">
        <f>SUM(E3:E22)</f>
        <v>0.0</v>
      </c>
    </row>
    <row r="5" spans="8:8" ht="15.0">
      <c r="A5" s="33"/>
      <c r="B5" s="33"/>
      <c r="C5" s="33"/>
      <c r="D5" s="33"/>
      <c r="E5" s="33" t="str">
        <f>IF(C5="","",MAX(C5-D5,0))</f>
        <v/>
      </c>
      <c r="F5" s="33"/>
      <c r="H5" s="62" t="s">
        <v>226</v>
      </c>
      <c r="I5" s="64">
        <f>_xlfn.IFERROR(SUM(D3:D22)/SUM(C3:C22),0)</f>
        <v>0.0</v>
      </c>
    </row>
    <row r="6" spans="8:8" ht="15.0">
      <c r="A6" s="33"/>
      <c r="B6" s="33"/>
      <c r="C6" s="33"/>
      <c r="D6" s="33"/>
      <c r="E6" s="33" t="str">
        <f>IF(C6="","",MAX(C6-D6,0))</f>
        <v/>
      </c>
      <c r="F6" s="33"/>
    </row>
    <row r="7" spans="8:8" ht="15.0">
      <c r="A7" s="33"/>
      <c r="B7" s="33"/>
      <c r="C7" s="33"/>
      <c r="D7" s="33"/>
      <c r="E7" s="33" t="str">
        <f>IF(C7="","",MAX(C7-D7,0))</f>
        <v/>
      </c>
      <c r="F7" s="33"/>
    </row>
    <row r="8" spans="8:8" ht="15.0">
      <c r="A8" s="33"/>
      <c r="B8" s="33"/>
      <c r="C8" s="33"/>
      <c r="D8" s="33"/>
      <c r="E8" s="33" t="str">
        <f>IF(C8="","",MAX(C8-D8,0))</f>
        <v/>
      </c>
      <c r="F8" s="33"/>
    </row>
    <row r="9" spans="8:8" ht="15.0">
      <c r="A9" s="33"/>
      <c r="B9" s="33"/>
      <c r="C9" s="33"/>
      <c r="D9" s="33"/>
      <c r="E9" s="33" t="str">
        <f>IF(C9="","",MAX(C9-D9,0))</f>
        <v/>
      </c>
      <c r="F9" s="33"/>
    </row>
    <row r="10" spans="8:8" ht="15.0">
      <c r="A10" s="33"/>
      <c r="B10" s="33"/>
      <c r="C10" s="33"/>
      <c r="D10" s="33"/>
      <c r="E10" s="33" t="str">
        <f>IF(C10="","",MAX(C10-D10,0))</f>
        <v/>
      </c>
      <c r="F10" s="33"/>
    </row>
    <row r="11" spans="8:8" ht="15.0">
      <c r="A11" s="33"/>
      <c r="B11" s="33"/>
      <c r="C11" s="33"/>
      <c r="D11" s="33"/>
      <c r="E11" s="33" t="str">
        <f>IF(C11="","",MAX(C11-D11,0))</f>
        <v/>
      </c>
      <c r="F11" s="33"/>
    </row>
    <row r="12" spans="8:8" ht="15.0">
      <c r="A12" s="33"/>
      <c r="B12" s="33"/>
      <c r="C12" s="33"/>
      <c r="D12" s="33"/>
      <c r="E12" s="33" t="str">
        <f>IF(C12="","",MAX(C12-D12,0))</f>
        <v/>
      </c>
      <c r="F12" s="33"/>
    </row>
    <row r="13" spans="8:8" ht="15.0">
      <c r="A13" s="33"/>
      <c r="B13" s="33"/>
      <c r="C13" s="33"/>
      <c r="D13" s="33"/>
      <c r="E13" s="33" t="str">
        <f>IF(C13="","",MAX(C13-D13,0))</f>
        <v/>
      </c>
      <c r="F13" s="33"/>
    </row>
    <row r="14" spans="8:8" ht="15.0">
      <c r="A14" s="33"/>
      <c r="B14" s="33"/>
      <c r="C14" s="33"/>
      <c r="D14" s="33"/>
      <c r="E14" s="33" t="str">
        <f>IF(C14="","",MAX(C14-D14,0))</f>
        <v/>
      </c>
      <c r="F14" s="33"/>
    </row>
    <row r="15" spans="8:8" ht="15.0">
      <c r="A15" s="33"/>
      <c r="B15" s="33"/>
      <c r="C15" s="33"/>
      <c r="D15" s="33"/>
      <c r="E15" s="33" t="str">
        <f>IF(C15="","",MAX(C15-D15,0))</f>
        <v/>
      </c>
      <c r="F15" s="33"/>
    </row>
    <row r="16" spans="8:8" ht="15.0">
      <c r="A16" s="33"/>
      <c r="B16" s="33"/>
      <c r="C16" s="33"/>
      <c r="D16" s="33"/>
      <c r="E16" s="33" t="str">
        <f>IF(C16="","",MAX(C16-D16,0))</f>
        <v/>
      </c>
      <c r="F16" s="33"/>
    </row>
    <row r="17" spans="8:8" ht="15.0">
      <c r="A17" s="33"/>
      <c r="B17" s="33"/>
      <c r="C17" s="33"/>
      <c r="D17" s="33"/>
      <c r="E17" s="33" t="str">
        <f>IF(C17="","",MAX(C17-D17,0))</f>
        <v/>
      </c>
      <c r="F17" s="33"/>
    </row>
    <row r="18" spans="8:8" ht="15.0">
      <c r="A18" s="33"/>
      <c r="B18" s="33"/>
      <c r="C18" s="33"/>
      <c r="D18" s="33"/>
      <c r="E18" s="33" t="str">
        <f>IF(C18="","",MAX(C18-D18,0))</f>
        <v/>
      </c>
      <c r="F18" s="33"/>
    </row>
    <row r="19" spans="8:8" ht="15.0">
      <c r="A19" s="33"/>
      <c r="B19" s="33"/>
      <c r="C19" s="33"/>
      <c r="D19" s="33"/>
      <c r="E19" s="33" t="str">
        <f>IF(C19="","",MAX(C19-D19,0))</f>
        <v/>
      </c>
      <c r="F19" s="33"/>
    </row>
    <row r="20" spans="8:8" ht="15.0">
      <c r="A20" s="33"/>
      <c r="B20" s="33"/>
      <c r="C20" s="33"/>
      <c r="D20" s="33"/>
      <c r="E20" s="33" t="str">
        <f>IF(C20="","",MAX(C20-D20,0))</f>
        <v/>
      </c>
      <c r="F20" s="33"/>
    </row>
    <row r="21" spans="8:8" ht="15.0">
      <c r="A21" s="33"/>
      <c r="B21" s="33"/>
      <c r="C21" s="33"/>
      <c r="D21" s="33"/>
      <c r="E21" s="33" t="str">
        <f>IF(C21="","",MAX(C21-D21,0))</f>
        <v/>
      </c>
      <c r="F21" s="33"/>
    </row>
    <row r="22" spans="8:8" ht="15.0">
      <c r="A22" s="33"/>
      <c r="B22" s="33"/>
      <c r="C22" s="33"/>
      <c r="D22" s="33"/>
      <c r="E22" s="33" t="str">
        <f>IF(C22="","",MAX(C22-D22,0))</f>
        <v/>
      </c>
      <c r="F22" s="33"/>
    </row>
  </sheetData>
  <mergeCells count="1">
    <mergeCell ref="A1:F1"/>
  </mergeCells>
  <conditionalFormatting sqref="D3:D22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G3:G21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E3:E32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25" right="0.25" top="0.4" bottom="0.4" header="0.511811023622047" footer="0.511811023622047"/>
  <pageSetup paperSize="8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17"/>
  <sheetViews>
    <sheetView workbookViewId="0" showGridLines="0" zoomScale="61">
      <selection activeCell="A2" sqref="A2"/>
    </sheetView>
  </sheetViews>
  <sheetFormatPr defaultRowHeight="15.0" customHeight="1" defaultColWidth="10" zeroHeight="1"/>
  <cols>
    <col min="1" max="1" customWidth="1" width="33.0" style="0"/>
    <col min="2" max="2" customWidth="1" width="15.0" style="0"/>
    <col min="3" max="3" customWidth="1" width="14.0" style="0"/>
    <col min="4" max="4" customWidth="1" width="12.0" style="0"/>
    <col min="5" max="5" customWidth="1" width="42.0" style="0"/>
    <col min="6" max="6" customWidth="1" width="12.0" style="0"/>
    <col min="7" max="7" customWidth="1" width="16.0" style="1"/>
  </cols>
  <sheetData>
    <row r="1" spans="8:8" ht="19.7" customHeight="1">
      <c r="A1" s="15" t="s">
        <v>227</v>
      </c>
      <c r="B1" s="15"/>
      <c r="C1" s="15"/>
      <c r="D1" s="15"/>
      <c r="E1" s="15"/>
      <c r="F1" s="15"/>
      <c r="G1" s="15"/>
    </row>
    <row r="2" spans="8:8" ht="28.35">
      <c r="A2" s="16" t="s">
        <v>228</v>
      </c>
      <c r="B2" s="16" t="s">
        <v>229</v>
      </c>
      <c r="C2" s="16" t="s">
        <v>75</v>
      </c>
      <c r="D2" s="16" t="s">
        <v>164</v>
      </c>
      <c r="E2" s="16" t="s">
        <v>77</v>
      </c>
      <c r="F2" s="16" t="s">
        <v>230</v>
      </c>
      <c r="G2" s="16" t="s">
        <v>231</v>
      </c>
    </row>
    <row r="3" spans="8:8" ht="41.25" customHeight="1">
      <c r="A3" s="43" t="s">
        <v>232</v>
      </c>
      <c r="B3" s="43" t="s">
        <v>233</v>
      </c>
      <c r="C3" s="43" t="s">
        <v>234</v>
      </c>
      <c r="D3" s="44">
        <v>0.81</v>
      </c>
      <c r="E3" t="str">
        <f>IF(D3="","",IF(D3&gt;=0.8,"SARE",IF(D3&gt;=0.6,"DHEXDHEXAAD","HOOSE")))</f>
        <v>SARE</v>
      </c>
      <c r="F3" s="33"/>
      <c r="G3" s="33"/>
    </row>
    <row r="4" spans="8:8" ht="24.0" customHeight="1">
      <c r="A4" s="47" t="s">
        <v>235</v>
      </c>
      <c r="B4" s="47" t="s">
        <v>236</v>
      </c>
      <c r="C4" s="47" t="s">
        <v>237</v>
      </c>
      <c r="D4" s="48">
        <v>0.63</v>
      </c>
      <c r="E4" t="str">
        <f>IF(D4="","",IF(D4&gt;=0.8,"SARE",IF(D4&gt;=0.6,"DHEXDHEXAAD","HOOSE")))</f>
        <v>DHEXDHEXAAD</v>
      </c>
      <c r="F4" s="33"/>
      <c r="G4" s="33"/>
    </row>
    <row r="5" spans="8:8" ht="24.0" customHeight="1">
      <c r="A5" s="47" t="s">
        <v>238</v>
      </c>
      <c r="B5" s="47" t="s">
        <v>239</v>
      </c>
      <c r="C5" s="47" t="s">
        <v>240</v>
      </c>
      <c r="D5" s="48">
        <v>0.87</v>
      </c>
      <c r="E5" t="str">
        <f>IF(D5="","",IF(D5&gt;=0.8,"SARE",IF(D5&gt;=0.6,"DHEXDHEXAAD","HOOSE")))</f>
        <v>SARE</v>
      </c>
      <c r="F5" s="33"/>
      <c r="G5" s="33"/>
    </row>
    <row r="6" spans="8:8" ht="24.0" customHeight="1">
      <c r="A6" s="47" t="s">
        <v>241</v>
      </c>
      <c r="B6" s="47" t="s">
        <v>242</v>
      </c>
      <c r="C6" s="47" t="s">
        <v>243</v>
      </c>
      <c r="D6" s="48">
        <v>0.87</v>
      </c>
      <c r="E6" t="str">
        <f>IF(D6="","",IF(D6&gt;=0.8,"SARE",IF(D6&gt;=0.6,"DHEXDHEXAAD","HOOSE")))</f>
        <v>SARE</v>
      </c>
      <c r="F6" s="33"/>
      <c r="G6" s="33"/>
    </row>
    <row r="7" spans="8:8" ht="41.25" customHeight="1">
      <c r="A7" s="47" t="s">
        <v>244</v>
      </c>
      <c r="B7" s="47" t="s">
        <v>245</v>
      </c>
      <c r="C7" s="47" t="s">
        <v>246</v>
      </c>
      <c r="D7" s="48">
        <v>0.81</v>
      </c>
      <c r="E7" t="str">
        <f>IF(D7="","",IF(D7&gt;=0.8,"SARE",IF(D7&gt;=0.6,"DHEXDHEXAAD","HOOSE")))</f>
        <v>SARE</v>
      </c>
      <c r="F7" s="33"/>
      <c r="G7" s="33"/>
    </row>
    <row r="8" spans="8:8" ht="41.25" customHeight="1">
      <c r="A8" s="47" t="s">
        <v>247</v>
      </c>
      <c r="B8" s="47" t="s">
        <v>248</v>
      </c>
      <c r="C8" s="47" t="s">
        <v>249</v>
      </c>
      <c r="D8" s="48">
        <v>0.67</v>
      </c>
      <c r="E8" t="str">
        <f>IF(D8="","",IF(D8&gt;=0.8,"SARE",IF(D8&gt;=0.6,"DHEXDHEXAAD","HOOSE")))</f>
        <v>DHEXDHEXAAD</v>
      </c>
      <c r="F8" s="33"/>
      <c r="G8" s="33"/>
    </row>
    <row r="9" spans="8:8" ht="41.25" customHeight="1">
      <c r="A9" s="47" t="s">
        <v>250</v>
      </c>
      <c r="B9" s="47" t="s">
        <v>251</v>
      </c>
      <c r="C9" s="47" t="s">
        <v>252</v>
      </c>
      <c r="D9" s="48">
        <v>0.69</v>
      </c>
      <c r="E9" t="str">
        <f>IF(D9="","",IF(D9&gt;=0.8,"SARE",IF(D9&gt;=0.6,"DHEXDHEXAAD","HOOSE")))</f>
        <v>DHEXDHEXAAD</v>
      </c>
      <c r="F9" s="33"/>
      <c r="G9" s="33"/>
    </row>
    <row r="10" spans="8:8" ht="41.25" customHeight="1">
      <c r="A10" s="47" t="s">
        <v>253</v>
      </c>
      <c r="B10" s="65" t="s">
        <v>254</v>
      </c>
      <c r="C10" s="65" t="s">
        <v>255</v>
      </c>
      <c r="D10" s="48">
        <v>0.79</v>
      </c>
      <c r="E10" t="str">
        <f>IF(D10="","",IF(D10&gt;=0.8,"SARE",IF(D10&gt;=0.6,"DHEXDHEXAAD","HOOSE")))</f>
        <v>DHEXDHEXAAD</v>
      </c>
      <c r="F10" s="33"/>
      <c r="G10" s="33"/>
    </row>
    <row r="11" spans="8:8" ht="24.0" customHeight="1">
      <c r="A11" s="47" t="s">
        <v>256</v>
      </c>
      <c r="B11" s="65" t="s">
        <v>257</v>
      </c>
      <c r="C11" s="65" t="s">
        <v>258</v>
      </c>
      <c r="D11" s="48">
        <v>0.75</v>
      </c>
      <c r="E11" t="str">
        <f>IF(D11="","",IF(D11&gt;=0.8,"SARE",IF(D11&gt;=0.6,"DHEXDHEXAAD","HOOSE")))</f>
        <v>DHEXDHEXAAD</v>
      </c>
      <c r="F11" s="33"/>
      <c r="G11" s="33"/>
    </row>
    <row r="12" spans="8:8" ht="41.25" customHeight="1">
      <c r="A12" s="47" t="s">
        <v>259</v>
      </c>
      <c r="B12" s="47">
        <v>0.0</v>
      </c>
      <c r="C12" s="47">
        <v>0.0</v>
      </c>
      <c r="D12" s="48">
        <v>0.0</v>
      </c>
      <c r="E12" t="str">
        <f>IF(D12="","",IF(D12&gt;=0.8,"SARE",IF(D12&gt;=0.6,"DHEXDHEXAAD","HOOSE")))</f>
        <v>HOOSE</v>
      </c>
      <c r="F12" s="33"/>
      <c r="G12" s="33"/>
    </row>
    <row r="13" spans="8:8" ht="41.25" customHeight="1">
      <c r="A13" s="47" t="s">
        <v>260</v>
      </c>
      <c r="B13" s="47" t="s">
        <v>261</v>
      </c>
      <c r="C13" s="47" t="s">
        <v>261</v>
      </c>
      <c r="D13" s="48">
        <v>1.0</v>
      </c>
      <c r="E13" t="str">
        <f>IF(D13="","",IF(D13&gt;=0.8,"SARE",IF(D13&gt;=0.6,"DHEXDHEXAAD","HOOSE")))</f>
        <v>SARE</v>
      </c>
      <c r="F13" s="33"/>
      <c r="G13" s="33"/>
    </row>
    <row r="14" spans="8:8" ht="41.25" customHeight="1">
      <c r="A14" s="47" t="s">
        <v>262</v>
      </c>
      <c r="B14" s="47">
        <v>2.0</v>
      </c>
      <c r="C14" s="47">
        <v>2.0</v>
      </c>
      <c r="D14" s="48">
        <v>1.0</v>
      </c>
      <c r="E14" t="str">
        <f>IF(D14="","",IF(D14&gt;=0.8,"SARE",IF(D14&gt;=0.6,"DHEXDHEXAAD","HOOSE")))</f>
        <v>SARE</v>
      </c>
      <c r="F14" s="33"/>
      <c r="G14" s="33"/>
    </row>
    <row r="15" spans="8:8" ht="41.25" customHeight="1">
      <c r="A15" s="47" t="s">
        <v>263</v>
      </c>
      <c r="B15" s="47" t="s">
        <v>264</v>
      </c>
      <c r="C15" s="47" t="s">
        <v>265</v>
      </c>
      <c r="D15" s="48">
        <v>1.0</v>
      </c>
      <c r="E15" t="str">
        <f>IF(D15="","",IF(D15&gt;=0.8,"SARE",IF(D15&gt;=0.6,"DHEXDHEXAAD","HOOSE")))</f>
        <v>SARE</v>
      </c>
    </row>
    <row r="16" spans="8:8" ht="41.25" customHeight="1">
      <c r="A16" s="47" t="s">
        <v>266</v>
      </c>
      <c r="B16" s="47" t="s">
        <v>171</v>
      </c>
      <c r="C16" s="47" t="s">
        <v>171</v>
      </c>
      <c r="D16" s="48">
        <v>1.0</v>
      </c>
      <c r="E16" t="str">
        <f>IF(D16="","",IF(D16&gt;=0.8,"SARE",IF(D16&gt;=0.6,"DHEXDHEXAAD","HOOSE")))</f>
        <v>SARE</v>
      </c>
    </row>
    <row r="17" spans="8:8" ht="41.25" customHeight="1">
      <c r="A17" s="47" t="s">
        <v>267</v>
      </c>
      <c r="B17" s="47">
        <v>1.0</v>
      </c>
      <c r="C17" s="47">
        <v>1.0</v>
      </c>
      <c r="D17" s="48">
        <v>1.0</v>
      </c>
      <c r="E17" t="str">
        <f>IF(D17="","",IF(D17&gt;=0.8,"SARE",IF(D17&gt;=0.6,"DHEXDHEXAAD","HOOSE")))</f>
        <v>SARE</v>
      </c>
    </row>
  </sheetData>
  <mergeCells count="1">
    <mergeCell ref="A1:G1"/>
  </mergeCells>
  <conditionalFormatting sqref="G3:G21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E3:E32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D18:D22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25" right="0.25" top="0.4" bottom="0.4" header="0.511811023622047" footer="0.511811023622047"/>
  <pageSetup paperSize="8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3"/>
  <sheetViews>
    <sheetView workbookViewId="0" topLeftCell="C1" showGridLines="0">
      <selection activeCell="A1" sqref="A1:F2"/>
    </sheetView>
  </sheetViews>
  <sheetFormatPr defaultRowHeight="15.0" customHeight="1" defaultColWidth="10" zeroHeight="1"/>
  <cols>
    <col min="1" max="1" customWidth="1" width="8.0" style="1"/>
    <col min="2" max="2" customWidth="1" width="25.0" style="1"/>
    <col min="3" max="3" customWidth="1" width="85.0" style="1"/>
  </cols>
  <sheetData>
    <row r="1" spans="8:8" ht="15.0">
      <c r="A1" s="66" t="s">
        <v>268</v>
      </c>
      <c r="B1" s="66"/>
      <c r="C1" s="66"/>
      <c r="D1" s="66"/>
      <c r="E1" s="66"/>
      <c r="F1" s="66"/>
    </row>
    <row r="2" spans="8:8" ht="15.0">
      <c r="A2" s="66"/>
      <c r="B2" s="66"/>
      <c r="C2" s="66"/>
      <c r="D2" s="66"/>
      <c r="E2" s="66"/>
      <c r="F2" s="66"/>
    </row>
    <row r="3" spans="8:8" ht="15.0">
      <c r="A3" s="16" t="s">
        <v>269</v>
      </c>
      <c r="B3" s="16" t="s">
        <v>7</v>
      </c>
      <c r="C3" s="16" t="s">
        <v>270</v>
      </c>
    </row>
    <row r="4" spans="8:8" ht="15.0">
      <c r="A4" s="63" t="s">
        <v>271</v>
      </c>
      <c r="B4" s="63" t="s">
        <v>272</v>
      </c>
      <c r="C4" s="63" t="s">
        <v>273</v>
      </c>
    </row>
    <row r="5" spans="8:8" ht="15.0">
      <c r="A5" s="63" t="s">
        <v>274</v>
      </c>
      <c r="B5" s="63" t="s">
        <v>275</v>
      </c>
      <c r="C5" s="63" t="s">
        <v>276</v>
      </c>
    </row>
    <row r="6" spans="8:8" ht="15.0">
      <c r="A6" s="63" t="s">
        <v>277</v>
      </c>
      <c r="B6" s="63" t="s">
        <v>278</v>
      </c>
      <c r="C6" s="63" t="s">
        <v>279</v>
      </c>
    </row>
    <row r="7" spans="8:8" ht="15.0">
      <c r="A7" s="63" t="s">
        <v>280</v>
      </c>
      <c r="B7" s="63" t="s">
        <v>281</v>
      </c>
      <c r="C7" s="63" t="s">
        <v>282</v>
      </c>
    </row>
    <row r="8" spans="8:8" ht="15.0">
      <c r="A8" s="63" t="s">
        <v>283</v>
      </c>
      <c r="B8" s="63" t="s">
        <v>162</v>
      </c>
      <c r="C8" s="63" t="s">
        <v>279</v>
      </c>
    </row>
    <row r="9" spans="8:8" ht="15.0">
      <c r="A9" s="63" t="s">
        <v>284</v>
      </c>
      <c r="B9" s="63" t="s">
        <v>285</v>
      </c>
      <c r="C9" s="63" t="s">
        <v>286</v>
      </c>
    </row>
    <row r="10" spans="8:8" ht="15.0">
      <c r="A10" s="63" t="s">
        <v>287</v>
      </c>
      <c r="B10" s="63" t="s">
        <v>30</v>
      </c>
      <c r="C10" s="63" t="s">
        <v>288</v>
      </c>
    </row>
    <row r="11" spans="8:8" ht="15.0">
      <c r="A11" s="63" t="s">
        <v>289</v>
      </c>
      <c r="B11" s="63" t="s">
        <v>290</v>
      </c>
      <c r="C11" s="63" t="s">
        <v>291</v>
      </c>
    </row>
    <row r="12" spans="8:8" ht="15.0">
      <c r="A12" s="63" t="s">
        <v>292</v>
      </c>
      <c r="B12" s="63" t="s">
        <v>293</v>
      </c>
      <c r="C12" s="63" t="s">
        <v>294</v>
      </c>
    </row>
    <row r="13" spans="8:8" ht="15.0">
      <c r="A13" s="63" t="s">
        <v>295</v>
      </c>
      <c r="B13" s="63" t="s">
        <v>296</v>
      </c>
      <c r="C13" s="63" t="s">
        <v>297</v>
      </c>
    </row>
  </sheetData>
  <mergeCells count="1">
    <mergeCell ref="A1:F2"/>
  </mergeCells>
  <pageMargins left="0.75" right="0.75" top="1.0" bottom="1.0" header="0.511811023622047" footer="0.511811023622047"/>
  <pageSetup paperSize="1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SM-A175F</dc:creator>
  <dcterms:created xsi:type="dcterms:W3CDTF">2026-08-18T09:21:11Z</dcterms:created>
  <dcterms:modified xsi:type="dcterms:W3CDTF">2026-08-18T19:06:29Z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d341d17f5a294c4881e0fa21f420a78a_23</vt:lpwstr>
  </property>
</Properties>
</file>